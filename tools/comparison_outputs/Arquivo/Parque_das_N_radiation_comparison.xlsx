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"/>
    </mc:Choice>
  </mc:AlternateContent>
  <xr:revisionPtr revIDLastSave="0" documentId="13_ncr:1_{90AC2D7B-2105-443E-8DCF-2047D7BADB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comparison" sheetId="2" r:id="rId2"/>
    <sheet name="missing_in_ucea" sheetId="3" r:id="rId3"/>
    <sheet name="ucea_only" sheetId="4" r:id="rId4"/>
  </sheets>
  <definedNames>
    <definedName name="_xlnm._FilterDatabase" localSheetId="1" hidden="1">comparison!$A$1:$AB$99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2" l="1"/>
  <c r="AB4" i="2"/>
  <c r="AB7" i="2"/>
  <c r="AB6" i="2"/>
  <c r="AB31" i="2"/>
  <c r="AB3" i="2"/>
  <c r="AB8" i="2"/>
  <c r="AB11" i="2"/>
  <c r="AB13" i="2"/>
  <c r="AB15" i="2"/>
  <c r="AB16" i="2"/>
  <c r="AB98" i="2"/>
  <c r="AB21" i="2"/>
  <c r="AB20" i="2"/>
  <c r="AB19" i="2"/>
  <c r="AB23" i="2"/>
  <c r="AB14" i="2"/>
  <c r="AB28" i="2"/>
  <c r="AB30" i="2"/>
  <c r="AB27" i="2"/>
  <c r="AB33" i="2"/>
  <c r="AB24" i="2"/>
  <c r="AB34" i="2"/>
  <c r="AB35" i="2"/>
  <c r="AB48" i="2"/>
  <c r="AB26" i="2"/>
  <c r="AB25" i="2"/>
  <c r="AB36" i="2"/>
  <c r="AB12" i="2"/>
  <c r="AB37" i="2"/>
  <c r="AB40" i="2"/>
  <c r="AB39" i="2"/>
  <c r="AB41" i="2"/>
  <c r="AB9" i="2"/>
  <c r="AB29" i="2"/>
  <c r="AB42" i="2"/>
  <c r="AB32" i="2"/>
  <c r="AB45" i="2"/>
  <c r="AB43" i="2"/>
  <c r="AB58" i="2"/>
  <c r="AB46" i="2"/>
  <c r="AB47" i="2"/>
  <c r="AB38" i="2"/>
  <c r="AB18" i="2"/>
  <c r="AB50" i="2"/>
  <c r="AB51" i="2"/>
  <c r="AB55" i="2"/>
  <c r="AB22" i="2"/>
  <c r="AB52" i="2"/>
  <c r="AB49" i="2"/>
  <c r="AB54" i="2"/>
  <c r="AB57" i="2"/>
  <c r="AB69" i="2"/>
  <c r="AB60" i="2"/>
  <c r="AB53" i="2"/>
  <c r="AB59" i="2"/>
  <c r="AB44" i="2"/>
  <c r="AB62" i="2"/>
  <c r="AB61" i="2"/>
  <c r="AB64" i="2"/>
  <c r="AB63" i="2"/>
  <c r="AB70" i="2"/>
  <c r="AB66" i="2"/>
  <c r="AB67" i="2"/>
  <c r="AB56" i="2"/>
  <c r="AB87" i="2"/>
  <c r="AB17" i="2"/>
  <c r="AB68" i="2"/>
  <c r="AB71" i="2"/>
  <c r="AB65" i="2"/>
  <c r="AB84" i="2"/>
  <c r="AB72" i="2"/>
  <c r="AB75" i="2"/>
  <c r="AB10" i="2"/>
  <c r="AB73" i="2"/>
  <c r="AB76" i="2"/>
  <c r="AB74" i="2"/>
  <c r="AB77" i="2"/>
  <c r="AB79" i="2"/>
  <c r="AB78" i="2"/>
  <c r="AB80" i="2"/>
  <c r="AB82" i="2"/>
  <c r="AB81" i="2"/>
  <c r="AB83" i="2"/>
  <c r="AB86" i="2"/>
  <c r="AB85" i="2"/>
  <c r="AB88" i="2"/>
  <c r="AB89" i="2"/>
  <c r="AB90" i="2"/>
  <c r="AB91" i="2"/>
  <c r="AB92" i="2"/>
  <c r="AB93" i="2"/>
  <c r="AB94" i="2"/>
  <c r="AB95" i="2"/>
  <c r="AB96" i="2"/>
  <c r="AB97" i="2"/>
  <c r="AB99" i="2"/>
  <c r="AB2" i="2"/>
  <c r="AA78" i="2"/>
  <c r="AA83" i="2"/>
  <c r="AA82" i="2"/>
  <c r="AA26" i="2"/>
  <c r="AA79" i="2"/>
  <c r="AA99" i="2"/>
  <c r="AA47" i="2"/>
  <c r="AA72" i="2"/>
  <c r="AA56" i="2"/>
  <c r="AA53" i="2"/>
  <c r="AA71" i="2"/>
  <c r="AA3" i="2"/>
  <c r="AA18" i="2"/>
  <c r="AA37" i="2"/>
  <c r="AA59" i="2"/>
  <c r="AA65" i="2"/>
  <c r="AA21" i="2"/>
  <c r="AA25" i="2"/>
  <c r="AA33" i="2"/>
  <c r="AA52" i="2"/>
  <c r="AA39" i="2"/>
  <c r="AA48" i="2"/>
  <c r="AA74" i="2"/>
  <c r="AA50" i="2"/>
  <c r="AA84" i="2"/>
  <c r="AA8" i="2"/>
  <c r="AA11" i="2"/>
  <c r="AA77" i="2"/>
  <c r="AA49" i="2"/>
  <c r="AA13" i="2"/>
  <c r="AA29" i="2"/>
  <c r="AA30" i="2"/>
  <c r="AA23" i="2"/>
  <c r="AA28" i="2"/>
  <c r="AA24" i="2"/>
  <c r="AA2" i="2"/>
  <c r="AA61" i="2"/>
  <c r="AA95" i="2"/>
  <c r="AA60" i="2"/>
  <c r="AA36" i="2"/>
  <c r="AA54" i="2"/>
  <c r="AA85" i="2"/>
  <c r="AA31" i="2"/>
  <c r="AA4" i="2"/>
  <c r="AA32" i="2"/>
  <c r="AA35" i="2"/>
  <c r="AA70" i="2"/>
  <c r="AA75" i="2"/>
  <c r="AA64" i="2"/>
  <c r="AA12" i="2"/>
  <c r="AA44" i="2"/>
  <c r="AA41" i="2"/>
  <c r="AA16" i="2"/>
  <c r="AA34" i="2"/>
  <c r="AA58" i="2"/>
  <c r="AA73" i="2"/>
  <c r="AA63" i="2"/>
  <c r="AA15" i="2"/>
  <c r="AA43" i="2"/>
  <c r="AA42" i="2"/>
  <c r="AA40" i="2"/>
  <c r="AA14" i="2"/>
  <c r="AA10" i="2"/>
  <c r="AA57" i="2"/>
  <c r="AA46" i="2"/>
  <c r="AA51" i="2"/>
  <c r="AA20" i="2"/>
  <c r="AA68" i="2"/>
  <c r="AA7" i="2"/>
  <c r="AA9" i="2"/>
  <c r="AA87" i="2"/>
  <c r="AA45" i="2"/>
  <c r="AA19" i="2"/>
  <c r="AA98" i="2"/>
  <c r="AA22" i="2"/>
  <c r="AA80" i="2"/>
  <c r="AA81" i="2"/>
  <c r="AA62" i="2"/>
  <c r="AA27" i="2"/>
  <c r="AA69" i="2"/>
  <c r="AA38" i="2"/>
  <c r="AA88" i="2"/>
  <c r="AA89" i="2"/>
  <c r="AA17" i="2"/>
  <c r="AA86" i="2"/>
  <c r="AA55" i="2"/>
  <c r="AA76" i="2"/>
  <c r="AA5" i="2"/>
  <c r="AA6" i="2"/>
  <c r="AA96" i="2"/>
  <c r="AA66" i="2"/>
  <c r="AA97" i="2"/>
  <c r="AA91" i="2"/>
  <c r="AA92" i="2"/>
  <c r="AA93" i="2"/>
  <c r="AA94" i="2"/>
  <c r="AA90" i="2"/>
  <c r="AA67" i="2"/>
</calcChain>
</file>

<file path=xl/sharedStrings.xml><?xml version="1.0" encoding="utf-8"?>
<sst xmlns="http://schemas.openxmlformats.org/spreadsheetml/2006/main" count="1102" uniqueCount="181">
  <si>
    <t>metric</t>
  </si>
  <si>
    <t>value</t>
  </si>
  <si>
    <t>area_id</t>
  </si>
  <si>
    <t>Parque_das_N</t>
  </si>
  <si>
    <t>validation_csv_path</t>
  </si>
  <si>
    <t>C:\Documents\Doutoramento\CEA Projects\ucea\tools\validation_outputs\Parque_das_N_residential_radiation.csv</t>
  </si>
  <si>
    <t>ucea_summary_csv_path</t>
  </si>
  <si>
    <t>C:\Users\Andre\cea-scenarios\Validation\Parque das N\outputs\data\solar-radiation\building_rooftop_radiation_annual_kWh.csv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</si>
  <si>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</si>
  <si>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</si>
  <si>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</si>
  <si>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</si>
  <si>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</si>
  <si>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</si>
  <si>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</si>
  <si>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total_validation_area_m2</t>
  </si>
  <si>
    <t>total_ucea_roofs_top_m2_matched</t>
  </si>
  <si>
    <t>total_workflow0_roofs_top_m2_matched</t>
  </si>
  <si>
    <t>total_validation_radiation_kwh_year</t>
  </si>
  <si>
    <t>total_ucea_radiation_kwh_year_matched</t>
  </si>
  <si>
    <t>total_workflow0_radiation_kwh_year_matched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</si>
  <si>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</si>
  <si>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</si>
  <si>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</si>
  <si>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</si>
  <si>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</si>
  <si>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</si>
  <si>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</si>
  <si>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</si>
  <si>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</si>
  <si>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</si>
  <si>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</si>
  <si>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</si>
  <si>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</si>
  <si>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</si>
  <si>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</si>
  <si>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</si>
  <si>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</si>
  <si>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</si>
  <si>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</si>
  <si>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</si>
  <si>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</si>
  <si>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</si>
  <si>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</si>
  <si>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</si>
  <si>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</si>
  <si>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B1000</t>
  </si>
  <si>
    <t>matched</t>
  </si>
  <si>
    <t>roofs_top_kW</t>
  </si>
  <si>
    <t>cea</t>
  </si>
  <si>
    <t>MULTI_RES</t>
  </si>
  <si>
    <t>NONE</t>
  </si>
  <si>
    <t>B1001</t>
  </si>
  <si>
    <t>B1002</t>
  </si>
  <si>
    <t>B1003</t>
  </si>
  <si>
    <t>B1006</t>
  </si>
  <si>
    <t>B1008</t>
  </si>
  <si>
    <t>B1010</t>
  </si>
  <si>
    <t>B1011</t>
  </si>
  <si>
    <t>B1012</t>
  </si>
  <si>
    <t>B1013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</si>
  <si>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</si>
  <si>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</si>
  <si>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</si>
  <si>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</si>
  <si>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</si>
  <si>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</si>
  <si>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</si>
  <si>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</si>
  <si>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</si>
  <si>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</si>
  <si>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</si>
  <si>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</si>
  <si>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</si>
  <si>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</si>
  <si>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</si>
  <si>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</si>
  <si>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</si>
  <si>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</si>
  <si>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</si>
  <si>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</si>
  <si>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</si>
  <si>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</si>
  <si>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</si>
  <si>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</si>
  <si>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</si>
  <si>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</si>
  <si>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</si>
  <si>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</si>
  <si>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</si>
  <si>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B1048</t>
  </si>
  <si>
    <t>B1049</t>
  </si>
  <si>
    <t>B1050</t>
  </si>
  <si>
    <t>B1055</t>
  </si>
  <si>
    <t>B1057</t>
  </si>
  <si>
    <t>B1058</t>
  </si>
  <si>
    <t>B1059</t>
  </si>
  <si>
    <t>B1061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</si>
  <si>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</si>
  <si>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</si>
  <si>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</si>
  <si>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</si>
  <si>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</si>
  <si>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</si>
  <si>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</si>
  <si>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</si>
  <si>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</si>
  <si>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</si>
  <si>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</si>
  <si>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</si>
  <si>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</si>
  <si>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</si>
  <si>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</si>
  <si>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</si>
  <si>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</si>
  <si>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</si>
  <si>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</si>
  <si>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</si>
  <si>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</si>
  <si>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</si>
  <si>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</si>
  <si>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</si>
  <si>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</si>
  <si>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</si>
  <si>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</si>
  <si>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</si>
  <si>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</si>
  <si>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</si>
  <si>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</si>
  <si>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</si>
  <si>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</si>
  <si>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</si>
  <si>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</si>
  <si>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</si>
  <si>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</si>
  <si>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</si>
  <si>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</si>
  <si>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</si>
  <si>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</si>
  <si>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</si>
  <si>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</si>
  <si>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</si>
  <si>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B1115</t>
  </si>
  <si>
    <t>B1116</t>
  </si>
  <si>
    <t>B1117</t>
  </si>
  <si>
    <t>B1126</t>
  </si>
  <si>
    <t>B1127</t>
  </si>
  <si>
    <t>B1128</t>
  </si>
  <si>
    <t>B1129</t>
  </si>
  <si>
    <t>B1004</t>
  </si>
  <si>
    <t>B1005</t>
  </si>
  <si>
    <t>B1007</t>
  </si>
  <si>
    <t>B1009</t>
  </si>
  <si>
    <t>B1014</t>
  </si>
  <si>
    <t>B1015</t>
  </si>
  <si>
    <t>B1025</t>
  </si>
  <si>
    <t>B1046</t>
  </si>
  <si>
    <t>B1047</t>
  </si>
  <si>
    <t>B1051</t>
  </si>
  <si>
    <t>B1052</t>
  </si>
  <si>
    <t>B1053</t>
  </si>
  <si>
    <t>B1054</t>
  </si>
  <si>
    <t>B1056</t>
  </si>
  <si>
    <t>B1060</t>
  </si>
  <si>
    <t>B1062</t>
  </si>
  <si>
    <t>B1063</t>
  </si>
  <si>
    <t>B1064</t>
  </si>
  <si>
    <t>B1083</t>
  </si>
  <si>
    <t>B1084</t>
  </si>
  <si>
    <t>B1085</t>
  </si>
  <si>
    <t>B1086</t>
  </si>
  <si>
    <t>B1113</t>
  </si>
  <si>
    <t>B1114</t>
  </si>
  <si>
    <t>B1118</t>
  </si>
  <si>
    <t>B1119</t>
  </si>
  <si>
    <t>B1120</t>
  </si>
  <si>
    <t>B1121</t>
  </si>
  <si>
    <t>B1122</t>
  </si>
  <si>
    <t>B1123</t>
  </si>
  <si>
    <t>B1124</t>
  </si>
  <si>
    <t>B1125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</si>
</sst>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98</v>
      </c>
    </row>
    <row r="6" spans="1:2" x14ac:dyDescent="0.3">
      <c r="A6" t="s">
        <v>9</v>
      </c>
      <c r="B6">
        <v>42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</row>
    <row r="9" spans="1:2" x14ac:dyDescent="0.3">
      <c r="A9" t="s">
        <v>12</v>
      </c>
      <c r="B9">
        <v>98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32</v>
      </c>
    </row>
    <row r="12" spans="1:2" x14ac:dyDescent="0.3">
      <c r="A12" t="s">
        <v>15</v>
      </c>
      <c r="B12">
        <v>60628.838434560159</v>
      </c>
    </row>
    <row r="13" spans="1:2" x14ac:dyDescent="0.3">
      <c r="A13" t="s">
        <v>16</v>
      </c>
      <c r="B13">
        <v>58671.03</v>
      </c>
    </row>
    <row r="14" spans="1:2" x14ac:dyDescent="0.3">
      <c r="A14" t="s">
        <v>17</v>
      </c>
      <c r="B14">
        <v>58139.640000000007</v>
      </c>
    </row>
    <row r="15" spans="1:2" x14ac:dyDescent="0.3">
      <c r="A15" t="s">
        <v>18</v>
      </c>
      <c r="B15">
        <v>117075677.05685155</v>
      </c>
    </row>
    <row r="16" spans="1:2" x14ac:dyDescent="0.3">
      <c r="A16" t="s">
        <v>19</v>
      </c>
      <c r="B16">
        <v>91369457.019999981</v>
      </c>
    </row>
    <row r="17" spans="1:2" x14ac:dyDescent="0.3">
      <c r="A17" t="s">
        <v>20</v>
      </c>
      <c r="B17">
        <v>91105286.350000009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"/>
  <sheetViews>
    <sheetView tabSelected="1" topLeftCell="F1" workbookViewId="0">
      <selection activeCell="P5" sqref="P5"/>
    </sheetView>
  </sheetViews>
  <sheetFormatPr defaultRowHeight="14.4" x14ac:dyDescent="0.3"/>
  <sheetData>
    <row r="1" spans="1:28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29</v>
      </c>
      <c r="AB1" t="s">
        <v>30</v>
      </c>
    </row>
    <row r="2" spans="1:28" x14ac:dyDescent="0.3">
      <c r="A2" t="s">
        <v>3</v>
      </c>
      <c r="B2" t="s">
        <v>87</v>
      </c>
      <c r="C2" t="s">
        <v>47</v>
      </c>
      <c r="D2">
        <v>1192.0635500020255</v>
      </c>
      <c r="E2">
        <v>1192.06</v>
      </c>
      <c r="F2">
        <v>1192.06</v>
      </c>
      <c r="G2">
        <v>1485456.167265625</v>
      </c>
      <c r="H2">
        <v>1889388.6399999938</v>
      </c>
      <c r="I2">
        <v>1853453.4600000004</v>
      </c>
      <c r="J2">
        <v>367997.29273437546</v>
      </c>
      <c r="K2">
        <v>403932.47273436887</v>
      </c>
      <c r="L2" t="s">
        <v>48</v>
      </c>
      <c r="M2">
        <v>8760</v>
      </c>
      <c r="N2">
        <v>1964</v>
      </c>
      <c r="O2" t="s">
        <v>49</v>
      </c>
      <c r="P2" t="s">
        <v>50</v>
      </c>
      <c r="Q2" t="s">
        <v>51</v>
      </c>
      <c r="R2" t="s">
        <v>51</v>
      </c>
      <c r="T2" t="s">
        <v>48</v>
      </c>
      <c r="U2">
        <v>8760</v>
      </c>
      <c r="AA2">
        <f>(I2-G2)/G2</f>
        <v>0.24773352512432045</v>
      </c>
      <c r="AB2">
        <f>(H2-G2)/G2</f>
        <v>0.27192486835738372</v>
      </c>
    </row>
    <row r="3" spans="1:28" x14ac:dyDescent="0.3">
      <c r="A3" t="s">
        <v>3</v>
      </c>
      <c r="B3" t="s">
        <v>63</v>
      </c>
      <c r="C3" t="s">
        <v>47</v>
      </c>
      <c r="D3">
        <v>492.15347532973334</v>
      </c>
      <c r="E3">
        <v>510.3</v>
      </c>
      <c r="F3">
        <v>492.13</v>
      </c>
      <c r="G3">
        <v>780805.40926562506</v>
      </c>
      <c r="H3">
        <v>814548.93000000145</v>
      </c>
      <c r="I3">
        <v>794471.32000000123</v>
      </c>
      <c r="J3">
        <v>13665.910734376172</v>
      </c>
      <c r="K3">
        <v>33743.52073437639</v>
      </c>
      <c r="L3" t="s">
        <v>48</v>
      </c>
      <c r="M3">
        <v>8760</v>
      </c>
      <c r="N3">
        <v>810</v>
      </c>
      <c r="O3" t="s">
        <v>49</v>
      </c>
      <c r="P3" t="s">
        <v>50</v>
      </c>
      <c r="Q3" t="s">
        <v>51</v>
      </c>
      <c r="R3" t="s">
        <v>51</v>
      </c>
      <c r="T3" t="s">
        <v>48</v>
      </c>
      <c r="U3">
        <v>8760</v>
      </c>
      <c r="V3">
        <v>2</v>
      </c>
      <c r="W3">
        <v>0.83267366886138916</v>
      </c>
      <c r="X3">
        <v>0.8328411597551707</v>
      </c>
      <c r="Y3">
        <v>0.6722826361656189</v>
      </c>
      <c r="Z3">
        <v>0.99306470155715942</v>
      </c>
      <c r="AA3">
        <f>(I3-G3)/G3</f>
        <v>1.7502325896063452E-2</v>
      </c>
      <c r="AB3">
        <f>(H3-G3)/G3</f>
        <v>4.3216299905136875E-2</v>
      </c>
    </row>
    <row r="4" spans="1:28" x14ac:dyDescent="0.3">
      <c r="A4" t="s">
        <v>3</v>
      </c>
      <c r="B4" t="s">
        <v>95</v>
      </c>
      <c r="C4" t="s">
        <v>47</v>
      </c>
      <c r="D4">
        <v>383.54950574289381</v>
      </c>
      <c r="E4">
        <v>389.31</v>
      </c>
      <c r="F4">
        <v>383.55</v>
      </c>
      <c r="G4">
        <v>594149.43864062498</v>
      </c>
      <c r="H4">
        <v>619159.6400000006</v>
      </c>
      <c r="I4">
        <v>619330.9799999987</v>
      </c>
      <c r="J4">
        <v>25181.541359373718</v>
      </c>
      <c r="K4">
        <v>25010.201359375613</v>
      </c>
      <c r="L4" t="s">
        <v>48</v>
      </c>
      <c r="M4">
        <v>8760</v>
      </c>
      <c r="N4">
        <v>632</v>
      </c>
      <c r="O4" t="s">
        <v>49</v>
      </c>
      <c r="P4" t="s">
        <v>50</v>
      </c>
      <c r="Q4" t="s">
        <v>51</v>
      </c>
      <c r="R4" t="s">
        <v>51</v>
      </c>
      <c r="T4" t="s">
        <v>48</v>
      </c>
      <c r="U4">
        <v>8760</v>
      </c>
      <c r="V4">
        <v>2</v>
      </c>
      <c r="W4">
        <v>0.80381447076797485</v>
      </c>
      <c r="X4">
        <v>0.80384707266945366</v>
      </c>
      <c r="Y4">
        <v>0.69986563920974731</v>
      </c>
      <c r="Z4">
        <v>0.90776330232620239</v>
      </c>
      <c r="AA4">
        <f>(I4-G4)/G4</f>
        <v>4.2382504672540691E-2</v>
      </c>
      <c r="AB4">
        <f>(H4-G4)/G4</f>
        <v>4.2094126044446518E-2</v>
      </c>
    </row>
    <row r="5" spans="1:28" x14ac:dyDescent="0.3">
      <c r="A5" t="s">
        <v>3</v>
      </c>
      <c r="B5" t="s">
        <v>139</v>
      </c>
      <c r="C5" t="s">
        <v>47</v>
      </c>
      <c r="D5">
        <v>1360.3640523183815</v>
      </c>
      <c r="E5">
        <v>1360.62</v>
      </c>
      <c r="F5">
        <v>1360.62</v>
      </c>
      <c r="G5">
        <v>2111365.9704687502</v>
      </c>
      <c r="H5">
        <v>2200016.5499999984</v>
      </c>
      <c r="I5">
        <v>2201248.1799999974</v>
      </c>
      <c r="J5">
        <v>89882.20953124715</v>
      </c>
      <c r="K5">
        <v>88650.579531248193</v>
      </c>
      <c r="L5" t="s">
        <v>48</v>
      </c>
      <c r="M5">
        <v>8760</v>
      </c>
      <c r="N5">
        <v>2243</v>
      </c>
      <c r="O5" t="s">
        <v>49</v>
      </c>
      <c r="P5" t="s">
        <v>50</v>
      </c>
      <c r="Q5" t="s">
        <v>51</v>
      </c>
      <c r="R5" t="s">
        <v>51</v>
      </c>
      <c r="T5" t="s">
        <v>48</v>
      </c>
      <c r="U5">
        <v>8760</v>
      </c>
      <c r="AA5">
        <f>(I5-G5)/G5</f>
        <v>4.2570644212519985E-2</v>
      </c>
      <c r="AB5">
        <f>(H5-G5)/G5</f>
        <v>4.1987310949966022E-2</v>
      </c>
    </row>
    <row r="6" spans="1:28" x14ac:dyDescent="0.3">
      <c r="A6" t="s">
        <v>3</v>
      </c>
      <c r="B6" t="s">
        <v>140</v>
      </c>
      <c r="C6" t="s">
        <v>47</v>
      </c>
      <c r="D6">
        <v>1277.2367195850304</v>
      </c>
      <c r="E6">
        <v>1273.6400000000001</v>
      </c>
      <c r="F6">
        <v>1273.6400000000001</v>
      </c>
      <c r="G6">
        <v>1975390.3879609376</v>
      </c>
      <c r="H6">
        <v>2043744.8000000054</v>
      </c>
      <c r="I6">
        <v>2044979.5000000002</v>
      </c>
      <c r="J6">
        <v>69589.11203906266</v>
      </c>
      <c r="K6">
        <v>68354.412039067829</v>
      </c>
      <c r="L6" t="s">
        <v>48</v>
      </c>
      <c r="M6">
        <v>8760</v>
      </c>
      <c r="N6">
        <v>2107</v>
      </c>
      <c r="O6" t="s">
        <v>49</v>
      </c>
      <c r="P6" t="s">
        <v>50</v>
      </c>
      <c r="Q6" t="s">
        <v>51</v>
      </c>
      <c r="R6" t="s">
        <v>51</v>
      </c>
      <c r="T6" t="s">
        <v>48</v>
      </c>
      <c r="U6">
        <v>8760</v>
      </c>
      <c r="AA6">
        <f>(I6-G6)/G6</f>
        <v>3.5228030096316712E-2</v>
      </c>
      <c r="AB6">
        <f>(H6-G6)/G6</f>
        <v>3.4602989087957184E-2</v>
      </c>
    </row>
    <row r="7" spans="1:28" x14ac:dyDescent="0.3">
      <c r="A7" t="s">
        <v>3</v>
      </c>
      <c r="B7" t="s">
        <v>120</v>
      </c>
      <c r="C7" t="s">
        <v>47</v>
      </c>
      <c r="D7">
        <v>408.42804766338043</v>
      </c>
      <c r="E7">
        <v>408.43</v>
      </c>
      <c r="F7">
        <v>408.43</v>
      </c>
      <c r="G7">
        <v>602893.92931250005</v>
      </c>
      <c r="H7">
        <v>610084.99999999977</v>
      </c>
      <c r="I7">
        <v>625967.55000000144</v>
      </c>
      <c r="J7">
        <v>23073.620687501389</v>
      </c>
      <c r="K7">
        <v>7191.0706874997122</v>
      </c>
      <c r="L7" t="s">
        <v>48</v>
      </c>
      <c r="M7">
        <v>8760</v>
      </c>
      <c r="N7">
        <v>672</v>
      </c>
      <c r="O7" t="s">
        <v>49</v>
      </c>
      <c r="P7" t="s">
        <v>50</v>
      </c>
      <c r="Q7" t="s">
        <v>51</v>
      </c>
      <c r="R7" t="s">
        <v>51</v>
      </c>
      <c r="T7" t="s">
        <v>48</v>
      </c>
      <c r="U7">
        <v>8760</v>
      </c>
      <c r="AA7">
        <f>(I7-G7)/G7</f>
        <v>3.8271443060992512E-2</v>
      </c>
      <c r="AB7">
        <f>(H7-G7)/G7</f>
        <v>1.1927588482604111E-2</v>
      </c>
    </row>
    <row r="8" spans="1:28" x14ac:dyDescent="0.3">
      <c r="A8" t="s">
        <v>3</v>
      </c>
      <c r="B8" t="s">
        <v>77</v>
      </c>
      <c r="C8" t="s">
        <v>47</v>
      </c>
      <c r="D8">
        <v>520.21014747888398</v>
      </c>
      <c r="E8">
        <v>520.24</v>
      </c>
      <c r="F8">
        <v>520.24</v>
      </c>
      <c r="G8">
        <v>830956.67346874997</v>
      </c>
      <c r="H8">
        <v>840136.04999999923</v>
      </c>
      <c r="I8">
        <v>842121.10000000079</v>
      </c>
      <c r="J8">
        <v>11164.426531250821</v>
      </c>
      <c r="K8">
        <v>9179.3765312492615</v>
      </c>
      <c r="L8" t="s">
        <v>48</v>
      </c>
      <c r="M8">
        <v>8760</v>
      </c>
      <c r="N8">
        <v>856</v>
      </c>
      <c r="O8" t="s">
        <v>49</v>
      </c>
      <c r="P8" t="s">
        <v>50</v>
      </c>
      <c r="Q8" t="s">
        <v>51</v>
      </c>
      <c r="R8" t="s">
        <v>51</v>
      </c>
      <c r="T8" t="s">
        <v>48</v>
      </c>
      <c r="U8">
        <v>8760</v>
      </c>
      <c r="AA8">
        <f>(I8-G8)/G8</f>
        <v>1.3435630145006212E-2</v>
      </c>
      <c r="AB8">
        <f>(H8-G8)/G8</f>
        <v>1.1046757098575095E-2</v>
      </c>
    </row>
    <row r="9" spans="1:28" x14ac:dyDescent="0.3">
      <c r="A9" t="s">
        <v>3</v>
      </c>
      <c r="B9" t="s">
        <v>121</v>
      </c>
      <c r="C9" t="s">
        <v>47</v>
      </c>
      <c r="D9">
        <v>467.87399900543539</v>
      </c>
      <c r="E9">
        <v>495.07</v>
      </c>
      <c r="F9">
        <v>471.56</v>
      </c>
      <c r="G9">
        <v>896377.44955468748</v>
      </c>
      <c r="H9">
        <v>887280.21000000217</v>
      </c>
      <c r="I9">
        <v>763043.35000000033</v>
      </c>
      <c r="J9">
        <v>-133334.09955468716</v>
      </c>
      <c r="K9">
        <v>-9097.2395546853077</v>
      </c>
      <c r="L9" t="s">
        <v>48</v>
      </c>
      <c r="M9">
        <v>8760</v>
      </c>
      <c r="N9">
        <v>775</v>
      </c>
      <c r="O9" t="s">
        <v>49</v>
      </c>
      <c r="P9" t="s">
        <v>50</v>
      </c>
      <c r="Q9" t="s">
        <v>51</v>
      </c>
      <c r="R9" t="s">
        <v>51</v>
      </c>
      <c r="T9" t="s">
        <v>48</v>
      </c>
      <c r="U9">
        <v>8760</v>
      </c>
      <c r="V9">
        <v>1</v>
      </c>
      <c r="W9">
        <v>0.69494783878326416</v>
      </c>
      <c r="X9">
        <v>0.69494783878326416</v>
      </c>
      <c r="Y9">
        <v>0.69494783878326416</v>
      </c>
      <c r="Z9">
        <v>0.69494783878326416</v>
      </c>
      <c r="AA9">
        <f>(I9-G9)/G9</f>
        <v>-0.1487477174051248</v>
      </c>
      <c r="AB9">
        <f>(H9-G9)/G9</f>
        <v>-1.0148893816109204E-2</v>
      </c>
    </row>
    <row r="10" spans="1:28" x14ac:dyDescent="0.3">
      <c r="A10" t="s">
        <v>3</v>
      </c>
      <c r="B10" t="s">
        <v>114</v>
      </c>
      <c r="C10" t="s">
        <v>47</v>
      </c>
      <c r="D10">
        <v>529.45387686387051</v>
      </c>
      <c r="E10">
        <v>711.67</v>
      </c>
      <c r="F10">
        <v>532.66</v>
      </c>
      <c r="G10">
        <v>1106601.177140625</v>
      </c>
      <c r="H10">
        <v>1079376.06</v>
      </c>
      <c r="I10">
        <v>850991.63000000129</v>
      </c>
      <c r="J10">
        <v>-255609.54714062368</v>
      </c>
      <c r="K10">
        <v>-27225.117140624905</v>
      </c>
      <c r="L10" t="s">
        <v>48</v>
      </c>
      <c r="M10">
        <v>8760</v>
      </c>
      <c r="N10">
        <v>872</v>
      </c>
      <c r="O10" t="s">
        <v>49</v>
      </c>
      <c r="P10" t="s">
        <v>50</v>
      </c>
      <c r="Q10" t="s">
        <v>51</v>
      </c>
      <c r="R10" t="s">
        <v>51</v>
      </c>
      <c r="T10" t="s">
        <v>48</v>
      </c>
      <c r="U10">
        <v>8760</v>
      </c>
      <c r="V10">
        <v>1</v>
      </c>
      <c r="W10">
        <v>0.45230638980865479</v>
      </c>
      <c r="X10">
        <v>0.45230638980865479</v>
      </c>
      <c r="Y10">
        <v>0.45230638980865479</v>
      </c>
      <c r="Z10">
        <v>0.45230638980865479</v>
      </c>
      <c r="AA10">
        <f>(I10-G10)/G10</f>
        <v>-0.23098615148874116</v>
      </c>
      <c r="AB10">
        <f>(H10-G10)/G10</f>
        <v>-2.4602465371465248E-2</v>
      </c>
    </row>
    <row r="11" spans="1:28" x14ac:dyDescent="0.3">
      <c r="A11" t="s">
        <v>3</v>
      </c>
      <c r="B11" t="s">
        <v>78</v>
      </c>
      <c r="C11" t="s">
        <v>47</v>
      </c>
      <c r="D11">
        <v>975.14790563101451</v>
      </c>
      <c r="E11">
        <v>986.51</v>
      </c>
      <c r="F11">
        <v>975.15</v>
      </c>
      <c r="G11">
        <v>1641443.1216406249</v>
      </c>
      <c r="H11">
        <v>1595473.7900000021</v>
      </c>
      <c r="I11">
        <v>1577710.2899999931</v>
      </c>
      <c r="J11">
        <v>-63732.831640631892</v>
      </c>
      <c r="K11">
        <v>-45969.331640622811</v>
      </c>
      <c r="L11" t="s">
        <v>48</v>
      </c>
      <c r="M11">
        <v>8760</v>
      </c>
      <c r="N11">
        <v>1612</v>
      </c>
      <c r="O11" t="s">
        <v>49</v>
      </c>
      <c r="P11" t="s">
        <v>50</v>
      </c>
      <c r="Q11" t="s">
        <v>51</v>
      </c>
      <c r="R11" t="s">
        <v>51</v>
      </c>
      <c r="T11" t="s">
        <v>48</v>
      </c>
      <c r="U11">
        <v>8760</v>
      </c>
      <c r="V11">
        <v>1</v>
      </c>
      <c r="W11">
        <v>0.98653644323348999</v>
      </c>
      <c r="X11">
        <v>0.98653644323348999</v>
      </c>
      <c r="Y11">
        <v>0.98653644323348999</v>
      </c>
      <c r="Z11">
        <v>0.98653644323348999</v>
      </c>
      <c r="AA11">
        <f>(I11-G11)/G11</f>
        <v>-3.8827316524334285E-2</v>
      </c>
      <c r="AB11">
        <f>(H11-G11)/G11</f>
        <v>-2.800543682237152E-2</v>
      </c>
    </row>
    <row r="12" spans="1:28" x14ac:dyDescent="0.3">
      <c r="A12" t="s">
        <v>3</v>
      </c>
      <c r="B12" t="s">
        <v>101</v>
      </c>
      <c r="C12" t="s">
        <v>47</v>
      </c>
      <c r="D12">
        <v>403.14740874652398</v>
      </c>
      <c r="E12">
        <v>412.37</v>
      </c>
      <c r="F12">
        <v>403.15</v>
      </c>
      <c r="G12">
        <v>747636.72646875004</v>
      </c>
      <c r="H12">
        <v>721768.11000000208</v>
      </c>
      <c r="I12">
        <v>643210.92000000027</v>
      </c>
      <c r="J12">
        <v>-104425.80646874977</v>
      </c>
      <c r="K12">
        <v>-25868.616468747961</v>
      </c>
      <c r="L12" t="s">
        <v>48</v>
      </c>
      <c r="M12">
        <v>8760</v>
      </c>
      <c r="N12">
        <v>668</v>
      </c>
      <c r="O12" t="s">
        <v>49</v>
      </c>
      <c r="P12" t="s">
        <v>50</v>
      </c>
      <c r="Q12" t="s">
        <v>51</v>
      </c>
      <c r="R12" t="s">
        <v>51</v>
      </c>
      <c r="T12" t="s">
        <v>48</v>
      </c>
      <c r="U12">
        <v>8760</v>
      </c>
      <c r="V12">
        <v>1</v>
      </c>
      <c r="W12">
        <v>0.93589675426483154</v>
      </c>
      <c r="X12">
        <v>0.93589675426483154</v>
      </c>
      <c r="Y12">
        <v>0.93589675426483154</v>
      </c>
      <c r="Z12">
        <v>0.93589675426483154</v>
      </c>
      <c r="AA12">
        <f>(I12-G12)/G12</f>
        <v>-0.1396745274432617</v>
      </c>
      <c r="AB12">
        <f>(H12-G12)/G12</f>
        <v>-3.4600515936303762E-2</v>
      </c>
    </row>
    <row r="13" spans="1:28" x14ac:dyDescent="0.3">
      <c r="A13" t="s">
        <v>3</v>
      </c>
      <c r="B13" t="s">
        <v>81</v>
      </c>
      <c r="C13" t="s">
        <v>47</v>
      </c>
      <c r="D13">
        <v>848.66689930123903</v>
      </c>
      <c r="E13">
        <v>848.67</v>
      </c>
      <c r="F13">
        <v>848.67</v>
      </c>
      <c r="G13">
        <v>1425071.0368984374</v>
      </c>
      <c r="H13">
        <v>1362434.1199999989</v>
      </c>
      <c r="I13">
        <v>1361870.83</v>
      </c>
      <c r="J13">
        <v>-63200.206898437347</v>
      </c>
      <c r="K13">
        <v>-62636.916898438474</v>
      </c>
      <c r="L13" t="s">
        <v>48</v>
      </c>
      <c r="M13">
        <v>8760</v>
      </c>
      <c r="N13">
        <v>1401</v>
      </c>
      <c r="O13" t="s">
        <v>49</v>
      </c>
      <c r="P13" t="s">
        <v>50</v>
      </c>
      <c r="Q13" t="s">
        <v>51</v>
      </c>
      <c r="R13" t="s">
        <v>51</v>
      </c>
      <c r="T13" t="s">
        <v>48</v>
      </c>
      <c r="U13">
        <v>8760</v>
      </c>
      <c r="AA13">
        <f>(I13-G13)/G13</f>
        <v>-4.4348811576430579E-2</v>
      </c>
      <c r="AB13">
        <f>(H13-G13)/G13</f>
        <v>-4.3953540052826506E-2</v>
      </c>
    </row>
    <row r="14" spans="1:28" x14ac:dyDescent="0.3">
      <c r="A14" t="s">
        <v>3</v>
      </c>
      <c r="B14" t="s">
        <v>113</v>
      </c>
      <c r="C14" t="s">
        <v>47</v>
      </c>
      <c r="D14">
        <v>484.88656976404309</v>
      </c>
      <c r="E14">
        <v>515.16999999999996</v>
      </c>
      <c r="F14">
        <v>484.95</v>
      </c>
      <c r="G14">
        <v>866271.02086718753</v>
      </c>
      <c r="H14">
        <v>825159.45999999973</v>
      </c>
      <c r="I14">
        <v>783211.53000000096</v>
      </c>
      <c r="J14">
        <v>-83059.490867186571</v>
      </c>
      <c r="K14">
        <v>-41111.5608671878</v>
      </c>
      <c r="L14" t="s">
        <v>48</v>
      </c>
      <c r="M14">
        <v>8760</v>
      </c>
      <c r="N14">
        <v>804</v>
      </c>
      <c r="O14" t="s">
        <v>49</v>
      </c>
      <c r="P14" t="s">
        <v>50</v>
      </c>
      <c r="Q14" t="s">
        <v>51</v>
      </c>
      <c r="R14" t="s">
        <v>51</v>
      </c>
      <c r="T14" t="s">
        <v>48</v>
      </c>
      <c r="U14">
        <v>8760</v>
      </c>
      <c r="V14">
        <v>2</v>
      </c>
      <c r="W14">
        <v>0.99100762605667114</v>
      </c>
      <c r="X14">
        <v>0.99101048497357025</v>
      </c>
      <c r="Y14">
        <v>0.9833984375</v>
      </c>
      <c r="Z14">
        <v>0.99861681461334229</v>
      </c>
      <c r="AA14">
        <f>(I14-G14)/G14</f>
        <v>-9.5881645427823736E-2</v>
      </c>
      <c r="AB14">
        <f>(H14-G14)/G14</f>
        <v>-4.7458081682142321E-2</v>
      </c>
    </row>
    <row r="15" spans="1:28" x14ac:dyDescent="0.3">
      <c r="A15" t="s">
        <v>3</v>
      </c>
      <c r="B15" t="s">
        <v>109</v>
      </c>
      <c r="C15" t="s">
        <v>47</v>
      </c>
      <c r="D15">
        <v>543.82026525138735</v>
      </c>
      <c r="E15">
        <v>529.28</v>
      </c>
      <c r="F15">
        <v>529.28</v>
      </c>
      <c r="G15">
        <v>900827.69410937501</v>
      </c>
      <c r="H15">
        <v>856013.91000000259</v>
      </c>
      <c r="I15">
        <v>856510.77999999968</v>
      </c>
      <c r="J15">
        <v>-44316.914109375328</v>
      </c>
      <c r="K15">
        <v>-44813.784109372413</v>
      </c>
      <c r="L15" t="s">
        <v>48</v>
      </c>
      <c r="M15">
        <v>8760</v>
      </c>
      <c r="N15">
        <v>896</v>
      </c>
      <c r="O15" t="s">
        <v>49</v>
      </c>
      <c r="P15" t="s">
        <v>50</v>
      </c>
      <c r="Q15" t="s">
        <v>51</v>
      </c>
      <c r="R15" t="s">
        <v>51</v>
      </c>
      <c r="T15" t="s">
        <v>48</v>
      </c>
      <c r="U15">
        <v>8760</v>
      </c>
      <c r="AA15">
        <f>(I15-G15)/G15</f>
        <v>-4.9195772287163431E-2</v>
      </c>
      <c r="AB15">
        <f>(H15-G15)/G15</f>
        <v>-4.9747342807526185E-2</v>
      </c>
    </row>
    <row r="16" spans="1:28" x14ac:dyDescent="0.3">
      <c r="A16" t="s">
        <v>3</v>
      </c>
      <c r="B16" t="s">
        <v>104</v>
      </c>
      <c r="C16" t="s">
        <v>47</v>
      </c>
      <c r="D16">
        <v>554.95025159556462</v>
      </c>
      <c r="E16">
        <v>554.89</v>
      </c>
      <c r="F16">
        <v>554.89</v>
      </c>
      <c r="G16">
        <v>954414.8536875</v>
      </c>
      <c r="H16">
        <v>897807.50999999815</v>
      </c>
      <c r="I16">
        <v>897219.81000000169</v>
      </c>
      <c r="J16">
        <v>-57195.043687498313</v>
      </c>
      <c r="K16">
        <v>-56607.343687501852</v>
      </c>
      <c r="L16" t="s">
        <v>48</v>
      </c>
      <c r="M16">
        <v>8760</v>
      </c>
      <c r="N16">
        <v>916</v>
      </c>
      <c r="O16" t="s">
        <v>49</v>
      </c>
      <c r="P16" t="s">
        <v>50</v>
      </c>
      <c r="Q16" t="s">
        <v>51</v>
      </c>
      <c r="R16" t="s">
        <v>51</v>
      </c>
      <c r="T16" t="s">
        <v>48</v>
      </c>
      <c r="U16">
        <v>8760</v>
      </c>
      <c r="AA16">
        <f>(I16-G16)/G16</f>
        <v>-5.9926816380233582E-2</v>
      </c>
      <c r="AB16">
        <f>(H16-G16)/G16</f>
        <v>-5.9311046416338102E-2</v>
      </c>
    </row>
    <row r="17" spans="1:28" x14ac:dyDescent="0.3">
      <c r="A17" t="s">
        <v>3</v>
      </c>
      <c r="B17" t="s">
        <v>135</v>
      </c>
      <c r="C17" t="s">
        <v>47</v>
      </c>
      <c r="D17">
        <v>332.66600041071945</v>
      </c>
      <c r="E17">
        <v>391.2</v>
      </c>
      <c r="F17">
        <v>332.67</v>
      </c>
      <c r="G17">
        <v>673942.92748437496</v>
      </c>
      <c r="H17">
        <v>629444.37999999919</v>
      </c>
      <c r="I17">
        <v>534469.89000000118</v>
      </c>
      <c r="J17">
        <v>-139473.03748437378</v>
      </c>
      <c r="K17">
        <v>-44498.547484375769</v>
      </c>
      <c r="L17" t="s">
        <v>48</v>
      </c>
      <c r="M17">
        <v>8760</v>
      </c>
      <c r="N17">
        <v>548</v>
      </c>
      <c r="O17" t="s">
        <v>49</v>
      </c>
      <c r="P17" t="s">
        <v>50</v>
      </c>
      <c r="Q17" t="s">
        <v>51</v>
      </c>
      <c r="R17" t="s">
        <v>51</v>
      </c>
      <c r="T17" t="s">
        <v>48</v>
      </c>
      <c r="U17">
        <v>8760</v>
      </c>
      <c r="V17">
        <v>1</v>
      </c>
      <c r="W17">
        <v>0.99990475177764893</v>
      </c>
      <c r="X17">
        <v>0.99990475177764893</v>
      </c>
      <c r="Y17">
        <v>0.99990475177764893</v>
      </c>
      <c r="Z17">
        <v>0.99990475177764893</v>
      </c>
      <c r="AA17">
        <f>(I17-G17)/G17</f>
        <v>-0.20695081407706797</v>
      </c>
      <c r="AB17">
        <f>(H17-G17)/G17</f>
        <v>-6.6027174809112368E-2</v>
      </c>
    </row>
    <row r="18" spans="1:28" x14ac:dyDescent="0.3">
      <c r="A18" t="s">
        <v>3</v>
      </c>
      <c r="B18" t="s">
        <v>64</v>
      </c>
      <c r="C18" t="s">
        <v>47</v>
      </c>
      <c r="D18">
        <v>581.63845382914053</v>
      </c>
      <c r="E18">
        <v>622.07000000000005</v>
      </c>
      <c r="F18">
        <v>581.64</v>
      </c>
      <c r="G18">
        <v>1129257.0272968751</v>
      </c>
      <c r="H18">
        <v>1042775.8499999985</v>
      </c>
      <c r="I18">
        <v>937939.49999999988</v>
      </c>
      <c r="J18">
        <v>-191317.52729687525</v>
      </c>
      <c r="K18">
        <v>-86481.177296876675</v>
      </c>
      <c r="L18" t="s">
        <v>48</v>
      </c>
      <c r="M18">
        <v>8760</v>
      </c>
      <c r="N18">
        <v>961</v>
      </c>
      <c r="O18" t="s">
        <v>49</v>
      </c>
      <c r="P18" t="s">
        <v>50</v>
      </c>
      <c r="Q18" t="s">
        <v>51</v>
      </c>
      <c r="R18" t="s">
        <v>51</v>
      </c>
      <c r="T18" t="s">
        <v>48</v>
      </c>
      <c r="U18">
        <v>8760</v>
      </c>
      <c r="V18">
        <v>2</v>
      </c>
      <c r="W18">
        <v>0.77314400672912598</v>
      </c>
      <c r="X18">
        <v>0.77249149369955628</v>
      </c>
      <c r="Y18">
        <v>0.68879371881484985</v>
      </c>
      <c r="Z18">
        <v>0.8574942946434021</v>
      </c>
      <c r="AA18">
        <f>(I18-G18)/G18</f>
        <v>-0.16941893888837317</v>
      </c>
      <c r="AB18">
        <f>(H18-G18)/G18</f>
        <v>-7.6582368058305011E-2</v>
      </c>
    </row>
    <row r="19" spans="1:28" x14ac:dyDescent="0.3">
      <c r="A19" t="s">
        <v>3</v>
      </c>
      <c r="B19" t="s">
        <v>124</v>
      </c>
      <c r="C19" t="s">
        <v>47</v>
      </c>
      <c r="D19">
        <v>418.06267114111688</v>
      </c>
      <c r="E19">
        <v>419.85</v>
      </c>
      <c r="F19">
        <v>418.06</v>
      </c>
      <c r="G19">
        <v>738075.38412499998</v>
      </c>
      <c r="H19">
        <v>678042.98000000068</v>
      </c>
      <c r="I19">
        <v>676264.49999999907</v>
      </c>
      <c r="J19">
        <v>-61810.884125000914</v>
      </c>
      <c r="K19">
        <v>-60032.404124999302</v>
      </c>
      <c r="L19" t="s">
        <v>48</v>
      </c>
      <c r="M19">
        <v>8760</v>
      </c>
      <c r="N19">
        <v>690</v>
      </c>
      <c r="O19" t="s">
        <v>49</v>
      </c>
      <c r="P19" t="s">
        <v>50</v>
      </c>
      <c r="Q19" t="s">
        <v>51</v>
      </c>
      <c r="R19" t="s">
        <v>51</v>
      </c>
      <c r="T19" t="s">
        <v>48</v>
      </c>
      <c r="U19">
        <v>8760</v>
      </c>
      <c r="V19">
        <v>1</v>
      </c>
      <c r="W19">
        <v>0.82208830118179321</v>
      </c>
      <c r="X19">
        <v>0.82208830118179321</v>
      </c>
      <c r="Y19">
        <v>0.82208830118179321</v>
      </c>
      <c r="Z19">
        <v>0.82208830118179321</v>
      </c>
      <c r="AA19">
        <f>(I19-G19)/G19</f>
        <v>-8.3746031170350829E-2</v>
      </c>
      <c r="AB19">
        <f>(H19-G19)/G19</f>
        <v>-8.1336412805812053E-2</v>
      </c>
    </row>
    <row r="20" spans="1:28" x14ac:dyDescent="0.3">
      <c r="A20" t="s">
        <v>3</v>
      </c>
      <c r="B20" t="s">
        <v>118</v>
      </c>
      <c r="C20" t="s">
        <v>47</v>
      </c>
      <c r="D20">
        <v>532.6925618518884</v>
      </c>
      <c r="E20">
        <v>532.69000000000005</v>
      </c>
      <c r="F20">
        <v>532.69000000000005</v>
      </c>
      <c r="G20">
        <v>938324.80140624999</v>
      </c>
      <c r="H20">
        <v>861840.45999999915</v>
      </c>
      <c r="I20">
        <v>861893.94999999856</v>
      </c>
      <c r="J20">
        <v>-76430.85140625143</v>
      </c>
      <c r="K20">
        <v>-76484.341406250838</v>
      </c>
      <c r="L20" t="s">
        <v>48</v>
      </c>
      <c r="M20">
        <v>8760</v>
      </c>
      <c r="N20">
        <v>880</v>
      </c>
      <c r="O20" t="s">
        <v>49</v>
      </c>
      <c r="P20" t="s">
        <v>50</v>
      </c>
      <c r="Q20" t="s">
        <v>51</v>
      </c>
      <c r="R20" t="s">
        <v>51</v>
      </c>
      <c r="T20" t="s">
        <v>48</v>
      </c>
      <c r="U20">
        <v>8760</v>
      </c>
      <c r="AA20">
        <f>(I20-G20)/G20</f>
        <v>-8.1454578725517993E-2</v>
      </c>
      <c r="AB20">
        <f>(H20-G20)/G20</f>
        <v>-8.1511584572447809E-2</v>
      </c>
    </row>
    <row r="21" spans="1:28" x14ac:dyDescent="0.3">
      <c r="A21" t="s">
        <v>3</v>
      </c>
      <c r="B21" t="s">
        <v>68</v>
      </c>
      <c r="C21" t="s">
        <v>47</v>
      </c>
      <c r="D21">
        <v>496.75605895245985</v>
      </c>
      <c r="E21">
        <v>504.35</v>
      </c>
      <c r="F21">
        <v>496.62</v>
      </c>
      <c r="G21">
        <v>860069.92334375007</v>
      </c>
      <c r="H21">
        <v>789286.46999999625</v>
      </c>
      <c r="I21">
        <v>803348.52000000072</v>
      </c>
      <c r="J21">
        <v>-56721.403343749349</v>
      </c>
      <c r="K21">
        <v>-70783.453343753819</v>
      </c>
      <c r="L21" t="s">
        <v>48</v>
      </c>
      <c r="M21">
        <v>8760</v>
      </c>
      <c r="N21">
        <v>819</v>
      </c>
      <c r="O21" t="s">
        <v>49</v>
      </c>
      <c r="P21" t="s">
        <v>50</v>
      </c>
      <c r="Q21" t="s">
        <v>51</v>
      </c>
      <c r="R21" t="s">
        <v>51</v>
      </c>
      <c r="T21" t="s">
        <v>48</v>
      </c>
      <c r="U21">
        <v>8760</v>
      </c>
      <c r="V21">
        <v>1</v>
      </c>
      <c r="W21">
        <v>0.99588119983673096</v>
      </c>
      <c r="X21">
        <v>0.99588119983673096</v>
      </c>
      <c r="Y21">
        <v>0.99588119983673096</v>
      </c>
      <c r="Z21">
        <v>0.99588119983673096</v>
      </c>
      <c r="AA21">
        <f>(I21-G21)/G21</f>
        <v>-6.5949758042032028E-2</v>
      </c>
      <c r="AB21">
        <f>(H21-G21)/G21</f>
        <v>-8.2299649624491419E-2</v>
      </c>
    </row>
    <row r="22" spans="1:28" x14ac:dyDescent="0.3">
      <c r="A22" t="s">
        <v>3</v>
      </c>
      <c r="B22" t="s">
        <v>126</v>
      </c>
      <c r="C22" t="s">
        <v>47</v>
      </c>
      <c r="D22">
        <v>436.4137385861103</v>
      </c>
      <c r="E22">
        <v>496.7</v>
      </c>
      <c r="F22">
        <v>436.41</v>
      </c>
      <c r="G22">
        <v>856076.74979687505</v>
      </c>
      <c r="H22">
        <v>783260.15000000072</v>
      </c>
      <c r="I22">
        <v>705255.9000000027</v>
      </c>
      <c r="J22">
        <v>-150820.84979687235</v>
      </c>
      <c r="K22">
        <v>-72816.599796874332</v>
      </c>
      <c r="L22" t="s">
        <v>48</v>
      </c>
      <c r="M22">
        <v>8760</v>
      </c>
      <c r="N22">
        <v>721</v>
      </c>
      <c r="O22" t="s">
        <v>49</v>
      </c>
      <c r="P22" t="s">
        <v>50</v>
      </c>
      <c r="Q22" t="s">
        <v>51</v>
      </c>
      <c r="R22" t="s">
        <v>51</v>
      </c>
      <c r="T22" t="s">
        <v>48</v>
      </c>
      <c r="U22">
        <v>8760</v>
      </c>
      <c r="V22">
        <v>2</v>
      </c>
      <c r="W22">
        <v>0.83888709545135498</v>
      </c>
      <c r="X22">
        <v>0.83933234501960574</v>
      </c>
      <c r="Y22">
        <v>0.74091702699661255</v>
      </c>
      <c r="Z22">
        <v>0.93685716390609741</v>
      </c>
      <c r="AA22">
        <f>(I22-G22)/G22</f>
        <v>-0.1761767853555867</v>
      </c>
      <c r="AB22">
        <f>(H22-G22)/G22</f>
        <v>-8.5058494830226192E-2</v>
      </c>
    </row>
    <row r="23" spans="1:28" x14ac:dyDescent="0.3">
      <c r="A23" t="s">
        <v>3</v>
      </c>
      <c r="B23" t="s">
        <v>84</v>
      </c>
      <c r="C23" t="s">
        <v>47</v>
      </c>
      <c r="D23">
        <v>926.64998445378956</v>
      </c>
      <c r="E23">
        <v>926.65</v>
      </c>
      <c r="F23">
        <v>926.65</v>
      </c>
      <c r="G23">
        <v>1646203.4411093751</v>
      </c>
      <c r="H23">
        <v>1499768.319999997</v>
      </c>
      <c r="I23">
        <v>1500544.9300000016</v>
      </c>
      <c r="J23">
        <v>-145658.51110937353</v>
      </c>
      <c r="K23">
        <v>-146435.12110937806</v>
      </c>
      <c r="L23" t="s">
        <v>48</v>
      </c>
      <c r="M23">
        <v>8760</v>
      </c>
      <c r="N23">
        <v>1525</v>
      </c>
      <c r="O23" t="s">
        <v>49</v>
      </c>
      <c r="P23" t="s">
        <v>50</v>
      </c>
      <c r="Q23" t="s">
        <v>51</v>
      </c>
      <c r="R23" t="s">
        <v>51</v>
      </c>
      <c r="T23" t="s">
        <v>48</v>
      </c>
      <c r="U23">
        <v>8760</v>
      </c>
      <c r="AA23">
        <f>(I23-G23)/G23</f>
        <v>-8.8481476512535046E-2</v>
      </c>
      <c r="AB23">
        <f>(H23-G23)/G23</f>
        <v>-8.8953234729418101E-2</v>
      </c>
    </row>
    <row r="24" spans="1:28" x14ac:dyDescent="0.3">
      <c r="A24" t="s">
        <v>3</v>
      </c>
      <c r="B24" t="s">
        <v>86</v>
      </c>
      <c r="C24" t="s">
        <v>47</v>
      </c>
      <c r="D24">
        <v>561.93107042097802</v>
      </c>
      <c r="E24">
        <v>600.73</v>
      </c>
      <c r="F24">
        <v>561.92999999999995</v>
      </c>
      <c r="G24">
        <v>1027926.3437187501</v>
      </c>
      <c r="H24">
        <v>931960.18999999797</v>
      </c>
      <c r="I24">
        <v>908899.11999999906</v>
      </c>
      <c r="J24">
        <v>-119027.22371875099</v>
      </c>
      <c r="K24">
        <v>-95966.153718752088</v>
      </c>
      <c r="L24" t="s">
        <v>48</v>
      </c>
      <c r="M24">
        <v>8760</v>
      </c>
      <c r="N24">
        <v>926</v>
      </c>
      <c r="O24" t="s">
        <v>49</v>
      </c>
      <c r="P24" t="s">
        <v>50</v>
      </c>
      <c r="Q24" t="s">
        <v>51</v>
      </c>
      <c r="R24" t="s">
        <v>51</v>
      </c>
      <c r="T24" t="s">
        <v>48</v>
      </c>
      <c r="U24">
        <v>8760</v>
      </c>
      <c r="V24">
        <v>2</v>
      </c>
      <c r="W24">
        <v>0.69968138635158539</v>
      </c>
      <c r="X24">
        <v>0.70015208926672234</v>
      </c>
      <c r="Y24">
        <v>0.48315820097923279</v>
      </c>
      <c r="Z24">
        <v>0.91620457172393799</v>
      </c>
      <c r="AA24">
        <f>(I24-G24)/G24</f>
        <v>-0.11579353369633838</v>
      </c>
      <c r="AB24">
        <f>(H24-G24)/G24</f>
        <v>-9.3358978787889971E-2</v>
      </c>
    </row>
    <row r="25" spans="1:28" x14ac:dyDescent="0.3">
      <c r="A25" t="s">
        <v>3</v>
      </c>
      <c r="B25" t="s">
        <v>69</v>
      </c>
      <c r="C25" t="s">
        <v>47</v>
      </c>
      <c r="D25">
        <v>556.30234642950415</v>
      </c>
      <c r="E25">
        <v>585.24</v>
      </c>
      <c r="F25">
        <v>540.33000000000004</v>
      </c>
      <c r="G25">
        <v>1006371.988578125</v>
      </c>
      <c r="H25">
        <v>910467.84999999939</v>
      </c>
      <c r="I25">
        <v>871746.36999999743</v>
      </c>
      <c r="J25">
        <v>-134625.61857812759</v>
      </c>
      <c r="K25">
        <v>-95904.138578125625</v>
      </c>
      <c r="L25" t="s">
        <v>48</v>
      </c>
      <c r="M25">
        <v>8760</v>
      </c>
      <c r="N25">
        <v>917</v>
      </c>
      <c r="O25" t="s">
        <v>49</v>
      </c>
      <c r="P25" t="s">
        <v>50</v>
      </c>
      <c r="Q25" t="s">
        <v>51</v>
      </c>
      <c r="R25" t="s">
        <v>51</v>
      </c>
      <c r="T25" t="s">
        <v>48</v>
      </c>
      <c r="U25">
        <v>8760</v>
      </c>
      <c r="V25">
        <v>1</v>
      </c>
      <c r="W25">
        <v>0.7312970757484436</v>
      </c>
      <c r="X25">
        <v>0.7312970757484436</v>
      </c>
      <c r="Y25">
        <v>0.7312970757484436</v>
      </c>
      <c r="Z25">
        <v>0.7312970757484436</v>
      </c>
      <c r="AA25">
        <f>(I25-G25)/G25</f>
        <v>-0.13377321716628499</v>
      </c>
      <c r="AB25">
        <f>(H25-G25)/G25</f>
        <v>-9.5296907770282754E-2</v>
      </c>
    </row>
    <row r="26" spans="1:28" x14ac:dyDescent="0.3">
      <c r="A26" t="s">
        <v>3</v>
      </c>
      <c r="B26" t="s">
        <v>55</v>
      </c>
      <c r="C26" t="s">
        <v>47</v>
      </c>
      <c r="D26">
        <v>592.1726487766025</v>
      </c>
      <c r="E26">
        <v>636.63</v>
      </c>
      <c r="F26">
        <v>592.12</v>
      </c>
      <c r="G26">
        <v>1105832.1752343751</v>
      </c>
      <c r="H26">
        <v>999836.14999999979</v>
      </c>
      <c r="I26">
        <v>958042.98000000161</v>
      </c>
      <c r="J26">
        <v>-147789.19523437344</v>
      </c>
      <c r="K26">
        <v>-105996.02523437527</v>
      </c>
      <c r="L26" t="s">
        <v>48</v>
      </c>
      <c r="M26">
        <v>8760</v>
      </c>
      <c r="N26">
        <v>973</v>
      </c>
      <c r="O26" t="s">
        <v>49</v>
      </c>
      <c r="P26" t="s">
        <v>50</v>
      </c>
      <c r="Q26" t="s">
        <v>51</v>
      </c>
      <c r="R26" t="s">
        <v>51</v>
      </c>
      <c r="T26" t="s">
        <v>48</v>
      </c>
      <c r="U26">
        <v>8760</v>
      </c>
      <c r="V26">
        <v>2</v>
      </c>
      <c r="W26">
        <v>0.75143060088157654</v>
      </c>
      <c r="X26">
        <v>0.75137744339418056</v>
      </c>
      <c r="Y26">
        <v>0.70808249711990356</v>
      </c>
      <c r="Z26">
        <v>0.79477870464324951</v>
      </c>
      <c r="AA26">
        <f>(I26-G26)/G26</f>
        <v>-0.13364522984968341</v>
      </c>
      <c r="AB26">
        <f>(H26-G26)/G26</f>
        <v>-9.5851818755327847E-2</v>
      </c>
    </row>
    <row r="27" spans="1:28" x14ac:dyDescent="0.3">
      <c r="A27" t="s">
        <v>3</v>
      </c>
      <c r="B27" t="s">
        <v>130</v>
      </c>
      <c r="C27" t="s">
        <v>47</v>
      </c>
      <c r="D27">
        <v>538.96613391214453</v>
      </c>
      <c r="E27">
        <v>545.21</v>
      </c>
      <c r="F27">
        <v>538.96</v>
      </c>
      <c r="G27">
        <v>970893.22037500003</v>
      </c>
      <c r="H27">
        <v>876631.51999999525</v>
      </c>
      <c r="I27">
        <v>867142.54000000074</v>
      </c>
      <c r="J27">
        <v>-103750.6803749993</v>
      </c>
      <c r="K27">
        <v>-94261.700375004788</v>
      </c>
      <c r="L27" t="s">
        <v>48</v>
      </c>
      <c r="M27">
        <v>8760</v>
      </c>
      <c r="N27">
        <v>889</v>
      </c>
      <c r="O27" t="s">
        <v>49</v>
      </c>
      <c r="P27" t="s">
        <v>50</v>
      </c>
      <c r="Q27" t="s">
        <v>51</v>
      </c>
      <c r="R27" t="s">
        <v>51</v>
      </c>
      <c r="T27" t="s">
        <v>48</v>
      </c>
      <c r="U27">
        <v>8760</v>
      </c>
      <c r="V27">
        <v>1</v>
      </c>
      <c r="W27">
        <v>0.98492312431335449</v>
      </c>
      <c r="X27">
        <v>0.98492312431335449</v>
      </c>
      <c r="Y27">
        <v>0.98492312431335449</v>
      </c>
      <c r="Z27">
        <v>0.98492312431335449</v>
      </c>
      <c r="AA27">
        <f>(I27-G27)/G27</f>
        <v>-0.10686106174984557</v>
      </c>
      <c r="AB27">
        <f>(H27-G27)/G27</f>
        <v>-9.7087607984940844E-2</v>
      </c>
    </row>
    <row r="28" spans="1:28" x14ac:dyDescent="0.3">
      <c r="A28" t="s">
        <v>3</v>
      </c>
      <c r="B28" t="s">
        <v>85</v>
      </c>
      <c r="C28" t="s">
        <v>47</v>
      </c>
      <c r="D28">
        <v>1340.173490089277</v>
      </c>
      <c r="E28">
        <v>1339.34</v>
      </c>
      <c r="F28">
        <v>1339.34</v>
      </c>
      <c r="G28">
        <v>2409332.32975</v>
      </c>
      <c r="H28">
        <v>2167529.9199999953</v>
      </c>
      <c r="I28">
        <v>2166742.8399999985</v>
      </c>
      <c r="J28">
        <v>-242589.48975000158</v>
      </c>
      <c r="K28">
        <v>-241802.40975000476</v>
      </c>
      <c r="L28" t="s">
        <v>48</v>
      </c>
      <c r="M28">
        <v>8760</v>
      </c>
      <c r="N28">
        <v>2207</v>
      </c>
      <c r="O28" t="s">
        <v>49</v>
      </c>
      <c r="P28" t="s">
        <v>50</v>
      </c>
      <c r="Q28" t="s">
        <v>51</v>
      </c>
      <c r="R28" t="s">
        <v>51</v>
      </c>
      <c r="T28" t="s">
        <v>48</v>
      </c>
      <c r="U28">
        <v>8760</v>
      </c>
      <c r="AA28">
        <f>(I28-G28)/G28</f>
        <v>-0.10068743392289657</v>
      </c>
      <c r="AB28">
        <f>(H28-G28)/G28</f>
        <v>-0.10036075420740938</v>
      </c>
    </row>
    <row r="29" spans="1:28" x14ac:dyDescent="0.3">
      <c r="A29" t="s">
        <v>3</v>
      </c>
      <c r="B29" t="s">
        <v>82</v>
      </c>
      <c r="C29" t="s">
        <v>47</v>
      </c>
      <c r="D29">
        <v>582.75743113843419</v>
      </c>
      <c r="E29">
        <v>618.69000000000005</v>
      </c>
      <c r="F29">
        <v>582.76</v>
      </c>
      <c r="G29">
        <v>1101983.3663281251</v>
      </c>
      <c r="H29">
        <v>989208.63000000129</v>
      </c>
      <c r="I29">
        <v>935707.23000000056</v>
      </c>
      <c r="J29">
        <v>-166276.13632812456</v>
      </c>
      <c r="K29">
        <v>-112774.73632812384</v>
      </c>
      <c r="L29" t="s">
        <v>48</v>
      </c>
      <c r="M29">
        <v>8760</v>
      </c>
      <c r="N29">
        <v>958</v>
      </c>
      <c r="O29" t="s">
        <v>49</v>
      </c>
      <c r="P29" t="s">
        <v>50</v>
      </c>
      <c r="Q29" t="s">
        <v>51</v>
      </c>
      <c r="R29" t="s">
        <v>51</v>
      </c>
      <c r="T29" t="s">
        <v>48</v>
      </c>
      <c r="U29">
        <v>8760</v>
      </c>
      <c r="V29">
        <v>3</v>
      </c>
      <c r="W29">
        <v>0.59337358673413598</v>
      </c>
      <c r="X29">
        <v>0.65507838160161658</v>
      </c>
      <c r="Y29">
        <v>0.43799111247062683</v>
      </c>
      <c r="Z29">
        <v>0.83814293146133423</v>
      </c>
      <c r="AA29">
        <f>(I29-G29)/G29</f>
        <v>-0.150888063657591</v>
      </c>
      <c r="AB29">
        <f>(H29-G29)/G29</f>
        <v>-0.10233796604743323</v>
      </c>
    </row>
    <row r="30" spans="1:28" x14ac:dyDescent="0.3">
      <c r="A30" t="s">
        <v>3</v>
      </c>
      <c r="B30" t="s">
        <v>83</v>
      </c>
      <c r="C30" t="s">
        <v>47</v>
      </c>
      <c r="D30">
        <v>915.73466975024144</v>
      </c>
      <c r="E30">
        <v>915.73</v>
      </c>
      <c r="F30">
        <v>915.73</v>
      </c>
      <c r="G30">
        <v>1653027.548734375</v>
      </c>
      <c r="H30">
        <v>1478053.3900000001</v>
      </c>
      <c r="I30">
        <v>1478620.870000002</v>
      </c>
      <c r="J30">
        <v>-174406.67873437307</v>
      </c>
      <c r="K30">
        <v>-174974.15873437491</v>
      </c>
      <c r="L30" t="s">
        <v>48</v>
      </c>
      <c r="M30">
        <v>8760</v>
      </c>
      <c r="N30">
        <v>1506</v>
      </c>
      <c r="O30" t="s">
        <v>49</v>
      </c>
      <c r="P30" t="s">
        <v>50</v>
      </c>
      <c r="Q30" t="s">
        <v>51</v>
      </c>
      <c r="R30" t="s">
        <v>51</v>
      </c>
      <c r="T30" t="s">
        <v>48</v>
      </c>
      <c r="U30">
        <v>8760</v>
      </c>
      <c r="AA30">
        <f>(I30-G30)/G30</f>
        <v>-0.10550742416114353</v>
      </c>
      <c r="AB30">
        <f>(H30-G30)/G30</f>
        <v>-0.10585072152508422</v>
      </c>
    </row>
    <row r="31" spans="1:28" x14ac:dyDescent="0.3">
      <c r="A31" t="s">
        <v>3</v>
      </c>
      <c r="B31" t="s">
        <v>94</v>
      </c>
      <c r="C31" t="s">
        <v>47</v>
      </c>
      <c r="D31">
        <v>380.90131088910448</v>
      </c>
      <c r="E31">
        <v>382.72</v>
      </c>
      <c r="F31">
        <v>380.97</v>
      </c>
      <c r="G31">
        <v>590956.14515624999</v>
      </c>
      <c r="H31">
        <v>527419.29000000062</v>
      </c>
      <c r="I31">
        <v>611683.5299999998</v>
      </c>
      <c r="J31">
        <v>20727.384843749809</v>
      </c>
      <c r="K31">
        <v>-63536.855156249367</v>
      </c>
      <c r="L31" t="s">
        <v>48</v>
      </c>
      <c r="M31">
        <v>8760</v>
      </c>
      <c r="N31">
        <v>627</v>
      </c>
      <c r="O31" t="s">
        <v>49</v>
      </c>
      <c r="P31" t="s">
        <v>50</v>
      </c>
      <c r="Q31" t="s">
        <v>51</v>
      </c>
      <c r="R31" t="s">
        <v>51</v>
      </c>
      <c r="T31" t="s">
        <v>48</v>
      </c>
      <c r="U31">
        <v>8760</v>
      </c>
      <c r="V31">
        <v>3</v>
      </c>
      <c r="W31">
        <v>0.39276487628618878</v>
      </c>
      <c r="X31">
        <v>0.39635402531227915</v>
      </c>
      <c r="Y31">
        <v>0.36980199813842773</v>
      </c>
      <c r="Z31">
        <v>0.40731287002563477</v>
      </c>
      <c r="AA31">
        <f>(I31-G31)/G31</f>
        <v>3.5074319835136744E-2</v>
      </c>
      <c r="AB31">
        <f>(H31-G31)/G31</f>
        <v>-0.10751534725042938</v>
      </c>
    </row>
    <row r="32" spans="1:28" x14ac:dyDescent="0.3">
      <c r="A32" t="s">
        <v>3</v>
      </c>
      <c r="B32" t="s">
        <v>96</v>
      </c>
      <c r="C32" t="s">
        <v>47</v>
      </c>
      <c r="D32">
        <v>478.83216047426481</v>
      </c>
      <c r="E32">
        <v>485</v>
      </c>
      <c r="F32">
        <v>478.82</v>
      </c>
      <c r="G32">
        <v>916899.35718749999</v>
      </c>
      <c r="H32">
        <v>816233.06000000017</v>
      </c>
      <c r="I32">
        <v>774583.16999999864</v>
      </c>
      <c r="J32">
        <v>-142316.18718750135</v>
      </c>
      <c r="K32">
        <v>-100666.29718749982</v>
      </c>
      <c r="L32" t="s">
        <v>48</v>
      </c>
      <c r="M32">
        <v>8760</v>
      </c>
      <c r="N32">
        <v>791</v>
      </c>
      <c r="O32" t="s">
        <v>49</v>
      </c>
      <c r="P32" t="s">
        <v>50</v>
      </c>
      <c r="Q32" t="s">
        <v>51</v>
      </c>
      <c r="R32" t="s">
        <v>51</v>
      </c>
      <c r="T32" t="s">
        <v>48</v>
      </c>
      <c r="U32">
        <v>8760</v>
      </c>
      <c r="V32">
        <v>2</v>
      </c>
      <c r="W32">
        <v>0.50887914001941681</v>
      </c>
      <c r="X32">
        <v>0.50963252723511754</v>
      </c>
      <c r="Y32">
        <v>0.44725635647773743</v>
      </c>
      <c r="Z32">
        <v>0.57050192356109619</v>
      </c>
      <c r="AA32">
        <f>(I32-G32)/G32</f>
        <v>-0.15521462205409597</v>
      </c>
      <c r="AB32">
        <f>(H32-G32)/G32</f>
        <v>-0.10978990921782729</v>
      </c>
    </row>
    <row r="33" spans="1:28" x14ac:dyDescent="0.3">
      <c r="A33" t="s">
        <v>3</v>
      </c>
      <c r="B33" t="s">
        <v>70</v>
      </c>
      <c r="C33" t="s">
        <v>47</v>
      </c>
      <c r="D33">
        <v>1012.6652982500777</v>
      </c>
      <c r="E33">
        <v>1012.85</v>
      </c>
      <c r="F33">
        <v>1012.85</v>
      </c>
      <c r="G33">
        <v>1850980.6356562499</v>
      </c>
      <c r="H33">
        <v>1639205.619999998</v>
      </c>
      <c r="I33">
        <v>1638703.8499999933</v>
      </c>
      <c r="J33">
        <v>-212276.7856562566</v>
      </c>
      <c r="K33">
        <v>-211775.01565625193</v>
      </c>
      <c r="L33" t="s">
        <v>48</v>
      </c>
      <c r="M33">
        <v>8760</v>
      </c>
      <c r="N33">
        <v>1669</v>
      </c>
      <c r="O33" t="s">
        <v>49</v>
      </c>
      <c r="P33" t="s">
        <v>50</v>
      </c>
      <c r="Q33" t="s">
        <v>51</v>
      </c>
      <c r="R33" t="s">
        <v>51</v>
      </c>
      <c r="T33" t="s">
        <v>48</v>
      </c>
      <c r="U33">
        <v>8760</v>
      </c>
      <c r="AA33">
        <f>(I33-G33)/G33</f>
        <v>-0.11468341784191363</v>
      </c>
      <c r="AB33">
        <f>(H33-G33)/G33</f>
        <v>-0.11441233450892847</v>
      </c>
    </row>
    <row r="34" spans="1:28" x14ac:dyDescent="0.3">
      <c r="A34" t="s">
        <v>3</v>
      </c>
      <c r="B34" t="s">
        <v>105</v>
      </c>
      <c r="C34" t="s">
        <v>47</v>
      </c>
      <c r="D34">
        <v>502.26753728806261</v>
      </c>
      <c r="E34">
        <v>502.29</v>
      </c>
      <c r="F34">
        <v>502.29</v>
      </c>
      <c r="G34">
        <v>914996.56417187501</v>
      </c>
      <c r="H34">
        <v>800366.26999999827</v>
      </c>
      <c r="I34">
        <v>801309.18000000145</v>
      </c>
      <c r="J34">
        <v>-113687.38417187356</v>
      </c>
      <c r="K34">
        <v>-114630.29417187674</v>
      </c>
      <c r="L34" t="s">
        <v>48</v>
      </c>
      <c r="M34">
        <v>8760</v>
      </c>
      <c r="N34">
        <v>828</v>
      </c>
      <c r="O34" t="s">
        <v>49</v>
      </c>
      <c r="P34" t="s">
        <v>50</v>
      </c>
      <c r="Q34" t="s">
        <v>51</v>
      </c>
      <c r="R34" t="s">
        <v>51</v>
      </c>
      <c r="T34" t="s">
        <v>48</v>
      </c>
      <c r="U34">
        <v>8760</v>
      </c>
      <c r="AA34">
        <f>(I34-G34)/G34</f>
        <v>-0.12424897384698624</v>
      </c>
      <c r="AB34">
        <f>(H34-G34)/G34</f>
        <v>-0.12527948044878595</v>
      </c>
    </row>
    <row r="35" spans="1:28" x14ac:dyDescent="0.3">
      <c r="A35" t="s">
        <v>3</v>
      </c>
      <c r="B35" t="s">
        <v>97</v>
      </c>
      <c r="C35" t="s">
        <v>47</v>
      </c>
      <c r="D35">
        <v>476.60010767784928</v>
      </c>
      <c r="E35">
        <v>476.66</v>
      </c>
      <c r="F35">
        <v>476.66</v>
      </c>
      <c r="G35">
        <v>882695.36720312503</v>
      </c>
      <c r="H35">
        <v>768815.62000000244</v>
      </c>
      <c r="I35">
        <v>771051.39999999804</v>
      </c>
      <c r="J35">
        <v>-111643.96720312699</v>
      </c>
      <c r="K35">
        <v>-113879.74720312259</v>
      </c>
      <c r="L35" t="s">
        <v>48</v>
      </c>
      <c r="M35">
        <v>8760</v>
      </c>
      <c r="N35">
        <v>785</v>
      </c>
      <c r="O35" t="s">
        <v>49</v>
      </c>
      <c r="P35" t="s">
        <v>50</v>
      </c>
      <c r="Q35" t="s">
        <v>51</v>
      </c>
      <c r="R35" t="s">
        <v>51</v>
      </c>
      <c r="T35" t="s">
        <v>48</v>
      </c>
      <c r="U35">
        <v>8760</v>
      </c>
      <c r="AA35">
        <f>(I35-G35)/G35</f>
        <v>-0.12648074449158808</v>
      </c>
      <c r="AB35">
        <f>(H35-G35)/G35</f>
        <v>-0.12901364551618485</v>
      </c>
    </row>
    <row r="36" spans="1:28" x14ac:dyDescent="0.3">
      <c r="A36" t="s">
        <v>3</v>
      </c>
      <c r="B36" t="s">
        <v>91</v>
      </c>
      <c r="C36" t="s">
        <v>47</v>
      </c>
      <c r="D36">
        <v>668.00097625568378</v>
      </c>
      <c r="E36">
        <v>679.46</v>
      </c>
      <c r="F36">
        <v>668.02</v>
      </c>
      <c r="G36">
        <v>1238378.2769531251</v>
      </c>
      <c r="H36">
        <v>1067905.5300000033</v>
      </c>
      <c r="I36">
        <v>1067888.179999999</v>
      </c>
      <c r="J36">
        <v>-170490.09695312614</v>
      </c>
      <c r="K36">
        <v>-170472.74695312185</v>
      </c>
      <c r="L36" t="s">
        <v>48</v>
      </c>
      <c r="M36">
        <v>8760</v>
      </c>
      <c r="N36">
        <v>1100</v>
      </c>
      <c r="O36" t="s">
        <v>49</v>
      </c>
      <c r="P36" t="s">
        <v>50</v>
      </c>
      <c r="Q36" t="s">
        <v>51</v>
      </c>
      <c r="R36" t="s">
        <v>51</v>
      </c>
      <c r="T36" t="s">
        <v>48</v>
      </c>
      <c r="U36">
        <v>8760</v>
      </c>
      <c r="V36">
        <v>3</v>
      </c>
      <c r="W36">
        <v>0.65541867415110266</v>
      </c>
      <c r="X36">
        <v>0.64910307976573078</v>
      </c>
      <c r="Y36">
        <v>0.5471838116645813</v>
      </c>
      <c r="Z36">
        <v>0.78999507427215576</v>
      </c>
      <c r="AA36">
        <f>(I36-G36)/G36</f>
        <v>-0.13767206686844968</v>
      </c>
      <c r="AB36">
        <f>(H36-G36)/G36</f>
        <v>-0.13765805660976929</v>
      </c>
    </row>
    <row r="37" spans="1:28" x14ac:dyDescent="0.3">
      <c r="A37" t="s">
        <v>3</v>
      </c>
      <c r="B37" t="s">
        <v>65</v>
      </c>
      <c r="C37" t="s">
        <v>47</v>
      </c>
      <c r="D37">
        <v>557.04434906549466</v>
      </c>
      <c r="E37">
        <v>557.04</v>
      </c>
      <c r="F37">
        <v>557.04</v>
      </c>
      <c r="G37">
        <v>1047068.906953125</v>
      </c>
      <c r="H37">
        <v>901508.95000000054</v>
      </c>
      <c r="I37">
        <v>895809.36999999837</v>
      </c>
      <c r="J37">
        <v>-151259.53695312666</v>
      </c>
      <c r="K37">
        <v>-145559.95695312449</v>
      </c>
      <c r="L37" t="s">
        <v>48</v>
      </c>
      <c r="M37">
        <v>8760</v>
      </c>
      <c r="N37">
        <v>918</v>
      </c>
      <c r="O37" t="s">
        <v>49</v>
      </c>
      <c r="P37" t="s">
        <v>50</v>
      </c>
      <c r="Q37" t="s">
        <v>51</v>
      </c>
      <c r="R37" t="s">
        <v>51</v>
      </c>
      <c r="T37" t="s">
        <v>48</v>
      </c>
      <c r="U37">
        <v>8760</v>
      </c>
      <c r="AA37">
        <f>(I37-G37)/G37</f>
        <v>-0.14445996433346311</v>
      </c>
      <c r="AB37">
        <f>(H37-G37)/G37</f>
        <v>-0.13901659765324392</v>
      </c>
    </row>
    <row r="38" spans="1:28" x14ac:dyDescent="0.3">
      <c r="A38" t="s">
        <v>3</v>
      </c>
      <c r="B38" t="s">
        <v>132</v>
      </c>
      <c r="C38" t="s">
        <v>47</v>
      </c>
      <c r="D38">
        <v>663.51781096339391</v>
      </c>
      <c r="E38">
        <v>675.02</v>
      </c>
      <c r="F38">
        <v>663.54</v>
      </c>
      <c r="G38">
        <v>1292349.7375390625</v>
      </c>
      <c r="H38">
        <v>1107469.2200000009</v>
      </c>
      <c r="I38">
        <v>1073443.4400000013</v>
      </c>
      <c r="J38">
        <v>-218906.29753906117</v>
      </c>
      <c r="K38">
        <v>-184880.51753906161</v>
      </c>
      <c r="L38" t="s">
        <v>48</v>
      </c>
      <c r="M38">
        <v>8760</v>
      </c>
      <c r="N38">
        <v>1093</v>
      </c>
      <c r="O38" t="s">
        <v>49</v>
      </c>
      <c r="P38" t="s">
        <v>50</v>
      </c>
      <c r="Q38" t="s">
        <v>51</v>
      </c>
      <c r="R38" t="s">
        <v>51</v>
      </c>
      <c r="T38" t="s">
        <v>48</v>
      </c>
      <c r="U38">
        <v>8760</v>
      </c>
      <c r="V38">
        <v>2</v>
      </c>
      <c r="W38">
        <v>0.77906745672225952</v>
      </c>
      <c r="X38">
        <v>0.77684464276317711</v>
      </c>
      <c r="Y38">
        <v>0.60207992792129517</v>
      </c>
      <c r="Z38">
        <v>0.95605498552322388</v>
      </c>
      <c r="AA38">
        <f>(I38-G38)/G38</f>
        <v>-0.16938626687533528</v>
      </c>
      <c r="AB38">
        <f>(H38-G38)/G38</f>
        <v>-0.14305765085782238</v>
      </c>
    </row>
    <row r="39" spans="1:28" x14ac:dyDescent="0.3">
      <c r="A39" t="s">
        <v>3</v>
      </c>
      <c r="B39" t="s">
        <v>72</v>
      </c>
      <c r="C39" t="s">
        <v>47</v>
      </c>
      <c r="D39">
        <v>980.73313460494592</v>
      </c>
      <c r="E39">
        <v>980.73</v>
      </c>
      <c r="F39">
        <v>980.73</v>
      </c>
      <c r="G39">
        <v>1786657.832828125</v>
      </c>
      <c r="H39">
        <v>1526993.6300000004</v>
      </c>
      <c r="I39">
        <v>1527226.66</v>
      </c>
      <c r="J39">
        <v>-259431.17282812507</v>
      </c>
      <c r="K39">
        <v>-259664.20282812463</v>
      </c>
      <c r="L39" t="s">
        <v>48</v>
      </c>
      <c r="M39">
        <v>8760</v>
      </c>
      <c r="N39">
        <v>1613</v>
      </c>
      <c r="O39" t="s">
        <v>49</v>
      </c>
      <c r="P39" t="s">
        <v>50</v>
      </c>
      <c r="Q39" t="s">
        <v>51</v>
      </c>
      <c r="R39" t="s">
        <v>51</v>
      </c>
      <c r="T39" t="s">
        <v>48</v>
      </c>
      <c r="U39">
        <v>8760</v>
      </c>
      <c r="AA39">
        <f>(I39-G39)/G39</f>
        <v>-0.14520473258019861</v>
      </c>
      <c r="AB39">
        <f>(H39-G39)/G39</f>
        <v>-0.14533516046388056</v>
      </c>
    </row>
    <row r="40" spans="1:28" x14ac:dyDescent="0.3">
      <c r="A40" t="s">
        <v>3</v>
      </c>
      <c r="B40" t="s">
        <v>112</v>
      </c>
      <c r="C40" t="s">
        <v>47</v>
      </c>
      <c r="D40">
        <v>572.16874530804978</v>
      </c>
      <c r="E40">
        <v>572.16999999999996</v>
      </c>
      <c r="F40">
        <v>572.16999999999996</v>
      </c>
      <c r="G40">
        <v>1082819.3081484374</v>
      </c>
      <c r="H40">
        <v>924957.55999999784</v>
      </c>
      <c r="I40">
        <v>926089.11000000138</v>
      </c>
      <c r="J40">
        <v>-156730.19814843603</v>
      </c>
      <c r="K40">
        <v>-157861.74814843957</v>
      </c>
      <c r="L40" t="s">
        <v>48</v>
      </c>
      <c r="M40">
        <v>8760</v>
      </c>
      <c r="N40">
        <v>942</v>
      </c>
      <c r="O40" t="s">
        <v>49</v>
      </c>
      <c r="P40" t="s">
        <v>50</v>
      </c>
      <c r="Q40" t="s">
        <v>51</v>
      </c>
      <c r="R40" t="s">
        <v>51</v>
      </c>
      <c r="T40" t="s">
        <v>48</v>
      </c>
      <c r="U40">
        <v>8760</v>
      </c>
      <c r="AA40">
        <f>(I40-G40)/G40</f>
        <v>-0.14474270727258845</v>
      </c>
      <c r="AB40">
        <f>(H40-G40)/G40</f>
        <v>-0.14578771080317604</v>
      </c>
    </row>
    <row r="41" spans="1:28" x14ac:dyDescent="0.3">
      <c r="A41" t="s">
        <v>3</v>
      </c>
      <c r="B41" t="s">
        <v>103</v>
      </c>
      <c r="C41" t="s">
        <v>47</v>
      </c>
      <c r="D41">
        <v>415.5787534659986</v>
      </c>
      <c r="E41">
        <v>415.58</v>
      </c>
      <c r="F41">
        <v>415.58</v>
      </c>
      <c r="G41">
        <v>788877.05412500002</v>
      </c>
      <c r="H41">
        <v>672313.65999999992</v>
      </c>
      <c r="I41">
        <v>672200.41999999934</v>
      </c>
      <c r="J41">
        <v>-116676.63412500068</v>
      </c>
      <c r="K41">
        <v>-116563.39412500011</v>
      </c>
      <c r="L41" t="s">
        <v>48</v>
      </c>
      <c r="M41">
        <v>8760</v>
      </c>
      <c r="N41">
        <v>682</v>
      </c>
      <c r="O41" t="s">
        <v>49</v>
      </c>
      <c r="P41" t="s">
        <v>50</v>
      </c>
      <c r="Q41" t="s">
        <v>51</v>
      </c>
      <c r="R41" t="s">
        <v>51</v>
      </c>
      <c r="T41" t="s">
        <v>48</v>
      </c>
      <c r="U41">
        <v>8760</v>
      </c>
      <c r="AA41">
        <f>(I41-G41)/G41</f>
        <v>-0.14790217755086701</v>
      </c>
      <c r="AB41">
        <f>(H41-G41)/G41</f>
        <v>-0.14775863173544693</v>
      </c>
    </row>
    <row r="42" spans="1:28" x14ac:dyDescent="0.3">
      <c r="A42" t="s">
        <v>3</v>
      </c>
      <c r="B42" t="s">
        <v>111</v>
      </c>
      <c r="C42" t="s">
        <v>47</v>
      </c>
      <c r="D42">
        <v>408.38205497687818</v>
      </c>
      <c r="E42">
        <v>408.65</v>
      </c>
      <c r="F42">
        <v>408.38</v>
      </c>
      <c r="G42">
        <v>779276.69412500004</v>
      </c>
      <c r="H42">
        <v>660734.23999999941</v>
      </c>
      <c r="I42">
        <v>660873.41000000108</v>
      </c>
      <c r="J42">
        <v>-118403.28412499896</v>
      </c>
      <c r="K42">
        <v>-118542.45412500063</v>
      </c>
      <c r="L42" t="s">
        <v>48</v>
      </c>
      <c r="M42">
        <v>8760</v>
      </c>
      <c r="N42">
        <v>669</v>
      </c>
      <c r="O42" t="s">
        <v>49</v>
      </c>
      <c r="P42" t="s">
        <v>50</v>
      </c>
      <c r="Q42" t="s">
        <v>51</v>
      </c>
      <c r="R42" t="s">
        <v>51</v>
      </c>
      <c r="T42" t="s">
        <v>48</v>
      </c>
      <c r="U42">
        <v>8760</v>
      </c>
      <c r="V42">
        <v>1</v>
      </c>
      <c r="W42">
        <v>0.96236538887023926</v>
      </c>
      <c r="X42">
        <v>0.96236538887023926</v>
      </c>
      <c r="Y42">
        <v>0.96236538887023926</v>
      </c>
      <c r="Z42">
        <v>0.96236538887023926</v>
      </c>
      <c r="AA42">
        <f>(I42-G42)/G42</f>
        <v>-0.15193997846675811</v>
      </c>
      <c r="AB42">
        <f>(H42-G42)/G42</f>
        <v>-0.15211856715168978</v>
      </c>
    </row>
    <row r="43" spans="1:28" x14ac:dyDescent="0.3">
      <c r="A43" t="s">
        <v>3</v>
      </c>
      <c r="B43" t="s">
        <v>110</v>
      </c>
      <c r="C43" t="s">
        <v>47</v>
      </c>
      <c r="D43">
        <v>417.83850911564235</v>
      </c>
      <c r="E43">
        <v>417.84</v>
      </c>
      <c r="F43">
        <v>417.84</v>
      </c>
      <c r="G43">
        <v>797656.71959374996</v>
      </c>
      <c r="H43">
        <v>673086.31999999809</v>
      </c>
      <c r="I43">
        <v>672316.17000000237</v>
      </c>
      <c r="J43">
        <v>-125340.54959374759</v>
      </c>
      <c r="K43">
        <v>-124570.39959375188</v>
      </c>
      <c r="L43" t="s">
        <v>48</v>
      </c>
      <c r="M43">
        <v>8760</v>
      </c>
      <c r="N43">
        <v>692</v>
      </c>
      <c r="O43" t="s">
        <v>49</v>
      </c>
      <c r="P43" t="s">
        <v>50</v>
      </c>
      <c r="Q43" t="s">
        <v>51</v>
      </c>
      <c r="R43" t="s">
        <v>51</v>
      </c>
      <c r="T43" t="s">
        <v>48</v>
      </c>
      <c r="U43">
        <v>8760</v>
      </c>
      <c r="AA43">
        <f>(I43-G43)/G43</f>
        <v>-0.15713595399482636</v>
      </c>
      <c r="AB43">
        <f>(H43-G43)/G43</f>
        <v>-0.15617043840262027</v>
      </c>
    </row>
    <row r="44" spans="1:28" x14ac:dyDescent="0.3">
      <c r="A44" t="s">
        <v>3</v>
      </c>
      <c r="B44" t="s">
        <v>102</v>
      </c>
      <c r="C44" t="s">
        <v>47</v>
      </c>
      <c r="D44">
        <v>422.26646456898106</v>
      </c>
      <c r="E44">
        <v>426.7</v>
      </c>
      <c r="F44">
        <v>422.27</v>
      </c>
      <c r="G44">
        <v>835212.18768750003</v>
      </c>
      <c r="H44">
        <v>699878.4200000019</v>
      </c>
      <c r="I44">
        <v>675628.09000000206</v>
      </c>
      <c r="J44">
        <v>-159584.09768749797</v>
      </c>
      <c r="K44">
        <v>-135333.76768749813</v>
      </c>
      <c r="L44" t="s">
        <v>48</v>
      </c>
      <c r="M44">
        <v>8760</v>
      </c>
      <c r="N44">
        <v>701</v>
      </c>
      <c r="O44" t="s">
        <v>49</v>
      </c>
      <c r="P44" t="s">
        <v>50</v>
      </c>
      <c r="Q44" t="s">
        <v>51</v>
      </c>
      <c r="R44" t="s">
        <v>51</v>
      </c>
      <c r="T44" t="s">
        <v>48</v>
      </c>
      <c r="U44">
        <v>8760</v>
      </c>
      <c r="V44">
        <v>2</v>
      </c>
      <c r="W44">
        <v>0.88364645838737488</v>
      </c>
      <c r="X44">
        <v>0.88339313432774469</v>
      </c>
      <c r="Y44">
        <v>0.8556477427482605</v>
      </c>
      <c r="Z44">
        <v>0.91164517402648926</v>
      </c>
      <c r="AA44">
        <f>(I44-G44)/G44</f>
        <v>-0.19107012569985074</v>
      </c>
      <c r="AB44">
        <f>(H44-G44)/G44</f>
        <v>-0.16203519259244109</v>
      </c>
    </row>
    <row r="45" spans="1:28" x14ac:dyDescent="0.3">
      <c r="A45" t="s">
        <v>3</v>
      </c>
      <c r="B45" t="s">
        <v>123</v>
      </c>
      <c r="C45" t="s">
        <v>47</v>
      </c>
      <c r="D45">
        <v>418.16484588034723</v>
      </c>
      <c r="E45">
        <v>418.16</v>
      </c>
      <c r="F45">
        <v>418.16</v>
      </c>
      <c r="G45">
        <v>802747.24924999999</v>
      </c>
      <c r="H45">
        <v>671120.22999999975</v>
      </c>
      <c r="I45">
        <v>676746.82999999938</v>
      </c>
      <c r="J45">
        <v>-126000.41925000062</v>
      </c>
      <c r="K45">
        <v>-131627.01925000024</v>
      </c>
      <c r="L45" t="s">
        <v>48</v>
      </c>
      <c r="M45">
        <v>8760</v>
      </c>
      <c r="N45">
        <v>691</v>
      </c>
      <c r="O45" t="s">
        <v>49</v>
      </c>
      <c r="P45" t="s">
        <v>50</v>
      </c>
      <c r="Q45" t="s">
        <v>51</v>
      </c>
      <c r="R45" t="s">
        <v>51</v>
      </c>
      <c r="T45" t="s">
        <v>48</v>
      </c>
      <c r="U45">
        <v>8760</v>
      </c>
      <c r="AA45">
        <f>(I45-G45)/G45</f>
        <v>-0.15696150857909727</v>
      </c>
      <c r="AB45">
        <f>(H45-G45)/G45</f>
        <v>-0.16397068862332231</v>
      </c>
    </row>
    <row r="46" spans="1:28" x14ac:dyDescent="0.3">
      <c r="A46" t="s">
        <v>3</v>
      </c>
      <c r="B46" t="s">
        <v>116</v>
      </c>
      <c r="C46" t="s">
        <v>47</v>
      </c>
      <c r="D46">
        <v>539.72364540802585</v>
      </c>
      <c r="E46">
        <v>539.75</v>
      </c>
      <c r="F46">
        <v>539.75</v>
      </c>
      <c r="G46">
        <v>1034180.4150781251</v>
      </c>
      <c r="H46">
        <v>863928.3</v>
      </c>
      <c r="I46">
        <v>863782.84999999858</v>
      </c>
      <c r="J46">
        <v>-170397.5650781265</v>
      </c>
      <c r="K46">
        <v>-170252.11507812503</v>
      </c>
      <c r="L46" t="s">
        <v>48</v>
      </c>
      <c r="M46">
        <v>8760</v>
      </c>
      <c r="N46">
        <v>889</v>
      </c>
      <c r="O46" t="s">
        <v>49</v>
      </c>
      <c r="P46" t="s">
        <v>50</v>
      </c>
      <c r="Q46" t="s">
        <v>51</v>
      </c>
      <c r="R46" t="s">
        <v>51</v>
      </c>
      <c r="T46" t="s">
        <v>48</v>
      </c>
      <c r="U46">
        <v>8760</v>
      </c>
      <c r="AA46">
        <f>(I46-G46)/G46</f>
        <v>-0.16476580158913004</v>
      </c>
      <c r="AB46">
        <f>(H46-G46)/G46</f>
        <v>-0.16462515881744258</v>
      </c>
    </row>
    <row r="47" spans="1:28" x14ac:dyDescent="0.3">
      <c r="A47" t="s">
        <v>3</v>
      </c>
      <c r="B47" t="s">
        <v>58</v>
      </c>
      <c r="C47" t="s">
        <v>47</v>
      </c>
      <c r="D47">
        <v>650.84060639499273</v>
      </c>
      <c r="E47">
        <v>650.84</v>
      </c>
      <c r="F47">
        <v>650.84</v>
      </c>
      <c r="G47">
        <v>1262420.903703125</v>
      </c>
      <c r="H47">
        <v>1053580.6400000006</v>
      </c>
      <c r="I47">
        <v>1053030.9399999997</v>
      </c>
      <c r="J47">
        <v>-209389.96370312525</v>
      </c>
      <c r="K47">
        <v>-208840.26370312436</v>
      </c>
      <c r="L47" t="s">
        <v>48</v>
      </c>
      <c r="M47">
        <v>8760</v>
      </c>
      <c r="N47">
        <v>1071</v>
      </c>
      <c r="O47" t="s">
        <v>49</v>
      </c>
      <c r="P47" t="s">
        <v>50</v>
      </c>
      <c r="Q47" t="s">
        <v>51</v>
      </c>
      <c r="R47" t="s">
        <v>51</v>
      </c>
      <c r="T47" t="s">
        <v>48</v>
      </c>
      <c r="U47">
        <v>8760</v>
      </c>
      <c r="AA47">
        <f>(I47-G47)/G47</f>
        <v>-0.16586382805363153</v>
      </c>
      <c r="AB47">
        <f>(H47-G47)/G47</f>
        <v>-0.16542839483291377</v>
      </c>
    </row>
    <row r="48" spans="1:28" x14ac:dyDescent="0.3">
      <c r="A48" t="s">
        <v>3</v>
      </c>
      <c r="B48" t="s">
        <v>73</v>
      </c>
      <c r="C48" t="s">
        <v>47</v>
      </c>
      <c r="D48">
        <v>506.50639535711258</v>
      </c>
      <c r="E48">
        <v>506.55</v>
      </c>
      <c r="F48">
        <v>506.55</v>
      </c>
      <c r="G48">
        <v>937617.88204687496</v>
      </c>
      <c r="H48">
        <v>781954.72000000067</v>
      </c>
      <c r="I48">
        <v>818659.18999999971</v>
      </c>
      <c r="J48">
        <v>-118958.69204687525</v>
      </c>
      <c r="K48">
        <v>-155663.16204687429</v>
      </c>
      <c r="L48" t="s">
        <v>48</v>
      </c>
      <c r="M48">
        <v>8760</v>
      </c>
      <c r="N48">
        <v>835</v>
      </c>
      <c r="O48" t="s">
        <v>49</v>
      </c>
      <c r="P48" t="s">
        <v>50</v>
      </c>
      <c r="Q48" t="s">
        <v>51</v>
      </c>
      <c r="R48" t="s">
        <v>51</v>
      </c>
      <c r="T48" t="s">
        <v>48</v>
      </c>
      <c r="U48">
        <v>8760</v>
      </c>
      <c r="AA48">
        <f>(I48-G48)/G48</f>
        <v>-0.12687331835777432</v>
      </c>
      <c r="AB48">
        <f>(H48-G48)/G48</f>
        <v>-0.16601983070870241</v>
      </c>
    </row>
    <row r="49" spans="1:28" x14ac:dyDescent="0.3">
      <c r="A49" t="s">
        <v>3</v>
      </c>
      <c r="B49" t="s">
        <v>80</v>
      </c>
      <c r="C49" t="s">
        <v>47</v>
      </c>
      <c r="D49">
        <v>971.34292611275521</v>
      </c>
      <c r="E49">
        <v>982.43</v>
      </c>
      <c r="F49">
        <v>971.34</v>
      </c>
      <c r="G49">
        <v>1645191.7020312501</v>
      </c>
      <c r="H49">
        <v>1364232.0400000075</v>
      </c>
      <c r="I49">
        <v>1351303.7700000021</v>
      </c>
      <c r="J49">
        <v>-293887.932031248</v>
      </c>
      <c r="K49">
        <v>-280959.66203124262</v>
      </c>
      <c r="L49" t="s">
        <v>48</v>
      </c>
      <c r="M49">
        <v>8760</v>
      </c>
      <c r="N49">
        <v>1596</v>
      </c>
      <c r="O49" t="s">
        <v>49</v>
      </c>
      <c r="P49" t="s">
        <v>50</v>
      </c>
      <c r="Q49" t="s">
        <v>51</v>
      </c>
      <c r="R49" t="s">
        <v>51</v>
      </c>
      <c r="T49" t="s">
        <v>48</v>
      </c>
      <c r="U49">
        <v>8760</v>
      </c>
      <c r="V49">
        <v>1</v>
      </c>
      <c r="W49">
        <v>0.99896740913391113</v>
      </c>
      <c r="X49">
        <v>0.99896740913391113</v>
      </c>
      <c r="Y49">
        <v>0.99896740913391113</v>
      </c>
      <c r="Z49">
        <v>0.99896740913391113</v>
      </c>
      <c r="AA49">
        <f>(I49-G49)/G49</f>
        <v>-0.17863446045126335</v>
      </c>
      <c r="AB49">
        <f>(H49-G49)/G49</f>
        <v>-0.17077624551859419</v>
      </c>
    </row>
    <row r="50" spans="1:28" x14ac:dyDescent="0.3">
      <c r="A50" t="s">
        <v>3</v>
      </c>
      <c r="B50" t="s">
        <v>75</v>
      </c>
      <c r="C50" t="s">
        <v>47</v>
      </c>
      <c r="D50">
        <v>807.93182012769739</v>
      </c>
      <c r="E50">
        <v>807.96</v>
      </c>
      <c r="F50">
        <v>807.96</v>
      </c>
      <c r="G50">
        <v>1576648.66178125</v>
      </c>
      <c r="H50">
        <v>1306907.5000000037</v>
      </c>
      <c r="I50">
        <v>1307315.5600000008</v>
      </c>
      <c r="J50">
        <v>-269333.10178124928</v>
      </c>
      <c r="K50">
        <v>-269741.16178124631</v>
      </c>
      <c r="L50" t="s">
        <v>48</v>
      </c>
      <c r="M50">
        <v>8760</v>
      </c>
      <c r="N50">
        <v>1330</v>
      </c>
      <c r="O50" t="s">
        <v>49</v>
      </c>
      <c r="P50" t="s">
        <v>50</v>
      </c>
      <c r="Q50" t="s">
        <v>51</v>
      </c>
      <c r="R50" t="s">
        <v>51</v>
      </c>
      <c r="T50" t="s">
        <v>48</v>
      </c>
      <c r="U50">
        <v>8760</v>
      </c>
      <c r="AA50">
        <f>(I50-G50)/G50</f>
        <v>-0.1708263282175782</v>
      </c>
      <c r="AB50">
        <f>(H50-G50)/G50</f>
        <v>-0.17108514301245839</v>
      </c>
    </row>
    <row r="51" spans="1:28" x14ac:dyDescent="0.3">
      <c r="A51" t="s">
        <v>3</v>
      </c>
      <c r="B51" t="s">
        <v>117</v>
      </c>
      <c r="C51" t="s">
        <v>47</v>
      </c>
      <c r="D51">
        <v>655.06647540549716</v>
      </c>
      <c r="E51">
        <v>655.07000000000005</v>
      </c>
      <c r="F51">
        <v>655.07000000000005</v>
      </c>
      <c r="G51">
        <v>1279145.500671875</v>
      </c>
      <c r="H51">
        <v>1059752.5799999984</v>
      </c>
      <c r="I51">
        <v>1059347.3999999971</v>
      </c>
      <c r="J51">
        <v>-219798.10067187785</v>
      </c>
      <c r="K51">
        <v>-219392.92067187652</v>
      </c>
      <c r="L51" t="s">
        <v>48</v>
      </c>
      <c r="M51">
        <v>8760</v>
      </c>
      <c r="N51">
        <v>1077</v>
      </c>
      <c r="O51" t="s">
        <v>49</v>
      </c>
      <c r="P51" t="s">
        <v>50</v>
      </c>
      <c r="Q51" t="s">
        <v>51</v>
      </c>
      <c r="R51" t="s">
        <v>51</v>
      </c>
      <c r="T51" t="s">
        <v>48</v>
      </c>
      <c r="U51">
        <v>8760</v>
      </c>
      <c r="AA51">
        <f>(I51-G51)/G51</f>
        <v>-0.17183197732894986</v>
      </c>
      <c r="AB51">
        <f>(H51-G51)/G51</f>
        <v>-0.17151521899317923</v>
      </c>
    </row>
    <row r="52" spans="1:28" x14ac:dyDescent="0.3">
      <c r="A52" t="s">
        <v>3</v>
      </c>
      <c r="B52" t="s">
        <v>71</v>
      </c>
      <c r="C52" t="s">
        <v>47</v>
      </c>
      <c r="D52">
        <v>420.61353951416396</v>
      </c>
      <c r="E52">
        <v>435.28</v>
      </c>
      <c r="F52">
        <v>420.61</v>
      </c>
      <c r="G52">
        <v>828023.12699999998</v>
      </c>
      <c r="H52">
        <v>685691.16000000073</v>
      </c>
      <c r="I52">
        <v>680918.14000000164</v>
      </c>
      <c r="J52">
        <v>-147104.98699999833</v>
      </c>
      <c r="K52">
        <v>-142331.96699999925</v>
      </c>
      <c r="L52" t="s">
        <v>48</v>
      </c>
      <c r="M52">
        <v>8760</v>
      </c>
      <c r="N52">
        <v>691</v>
      </c>
      <c r="O52" t="s">
        <v>49</v>
      </c>
      <c r="P52" t="s">
        <v>50</v>
      </c>
      <c r="Q52" t="s">
        <v>51</v>
      </c>
      <c r="R52" t="s">
        <v>51</v>
      </c>
      <c r="T52" t="s">
        <v>48</v>
      </c>
      <c r="U52">
        <v>8760</v>
      </c>
      <c r="V52">
        <v>2</v>
      </c>
      <c r="W52">
        <v>0.97413837909698486</v>
      </c>
      <c r="X52">
        <v>0.9741514403591468</v>
      </c>
      <c r="Y52">
        <v>0.97004604339599609</v>
      </c>
      <c r="Z52">
        <v>0.97823071479797363</v>
      </c>
      <c r="AA52">
        <f>(I52-G52)/G52</f>
        <v>-0.17765806558202371</v>
      </c>
      <c r="AB52">
        <f>(H52-G52)/G52</f>
        <v>-0.17189370967895592</v>
      </c>
    </row>
    <row r="53" spans="1:28" x14ac:dyDescent="0.3">
      <c r="A53" t="s">
        <v>3</v>
      </c>
      <c r="B53" t="s">
        <v>61</v>
      </c>
      <c r="C53" t="s">
        <v>47</v>
      </c>
      <c r="D53">
        <v>409.68025075107766</v>
      </c>
      <c r="E53">
        <v>429.68</v>
      </c>
      <c r="F53">
        <v>409.68</v>
      </c>
      <c r="G53">
        <v>813550.16356250003</v>
      </c>
      <c r="H53">
        <v>671987.48999999929</v>
      </c>
      <c r="I53">
        <v>661076.18000000017</v>
      </c>
      <c r="J53">
        <v>-152473.98356249987</v>
      </c>
      <c r="K53">
        <v>-141562.67356250074</v>
      </c>
      <c r="L53" t="s">
        <v>48</v>
      </c>
      <c r="M53">
        <v>8760</v>
      </c>
      <c r="N53">
        <v>674</v>
      </c>
      <c r="O53" t="s">
        <v>49</v>
      </c>
      <c r="P53" t="s">
        <v>50</v>
      </c>
      <c r="Q53" t="s">
        <v>51</v>
      </c>
      <c r="R53" t="s">
        <v>51</v>
      </c>
      <c r="T53" t="s">
        <v>48</v>
      </c>
      <c r="U53">
        <v>8760</v>
      </c>
      <c r="V53">
        <v>2</v>
      </c>
      <c r="W53">
        <v>0.96101647615432739</v>
      </c>
      <c r="X53">
        <v>0.96114503224270142</v>
      </c>
      <c r="Y53">
        <v>0.9405975341796875</v>
      </c>
      <c r="Z53">
        <v>0.98143541812896729</v>
      </c>
      <c r="AA53">
        <f>(I53-G53)/G53</f>
        <v>-0.18741804794780331</v>
      </c>
      <c r="AB53">
        <f>(H53-G53)/G53</f>
        <v>-0.17400607842373736</v>
      </c>
    </row>
    <row r="54" spans="1:28" x14ac:dyDescent="0.3">
      <c r="A54" t="s">
        <v>3</v>
      </c>
      <c r="B54" t="s">
        <v>92</v>
      </c>
      <c r="C54" t="s">
        <v>47</v>
      </c>
      <c r="D54">
        <v>537.82607884096012</v>
      </c>
      <c r="E54">
        <v>541.94000000000005</v>
      </c>
      <c r="F54">
        <v>537.94000000000005</v>
      </c>
      <c r="G54">
        <v>1043742.5883125</v>
      </c>
      <c r="H54">
        <v>861488.93</v>
      </c>
      <c r="I54">
        <v>856064.99999999721</v>
      </c>
      <c r="J54">
        <v>-187677.58831250283</v>
      </c>
      <c r="K54">
        <v>-182253.65831249999</v>
      </c>
      <c r="L54" t="s">
        <v>48</v>
      </c>
      <c r="M54">
        <v>8760</v>
      </c>
      <c r="N54">
        <v>886</v>
      </c>
      <c r="O54" t="s">
        <v>49</v>
      </c>
      <c r="P54" t="s">
        <v>50</v>
      </c>
      <c r="Q54" t="s">
        <v>51</v>
      </c>
      <c r="R54" t="s">
        <v>51</v>
      </c>
      <c r="T54" t="s">
        <v>48</v>
      </c>
      <c r="U54">
        <v>8760</v>
      </c>
      <c r="V54">
        <v>2</v>
      </c>
      <c r="W54">
        <v>0.71803851425647736</v>
      </c>
      <c r="X54">
        <v>0.7165979993305146</v>
      </c>
      <c r="Y54">
        <v>0.47970637679100037</v>
      </c>
      <c r="Z54">
        <v>0.95637065172195435</v>
      </c>
      <c r="AA54">
        <f>(I54-G54)/G54</f>
        <v>-0.17981213990313052</v>
      </c>
      <c r="AB54">
        <f>(H54-G54)/G54</f>
        <v>-0.17461552336114183</v>
      </c>
    </row>
    <row r="55" spans="1:28" x14ac:dyDescent="0.3">
      <c r="A55" t="s">
        <v>3</v>
      </c>
      <c r="B55" t="s">
        <v>137</v>
      </c>
      <c r="C55" t="s">
        <v>47</v>
      </c>
      <c r="D55">
        <v>662.36351527909949</v>
      </c>
      <c r="E55">
        <v>662.27</v>
      </c>
      <c r="F55">
        <v>662.27</v>
      </c>
      <c r="G55">
        <v>1300392.36396875</v>
      </c>
      <c r="H55">
        <v>1071200.6499999992</v>
      </c>
      <c r="I55">
        <v>1072030.2600000014</v>
      </c>
      <c r="J55">
        <v>-228362.10396874859</v>
      </c>
      <c r="K55">
        <v>-229191.71396875079</v>
      </c>
      <c r="L55" t="s">
        <v>48</v>
      </c>
      <c r="M55">
        <v>8760</v>
      </c>
      <c r="N55">
        <v>1092</v>
      </c>
      <c r="O55" t="s">
        <v>49</v>
      </c>
      <c r="P55" t="s">
        <v>50</v>
      </c>
      <c r="Q55" t="s">
        <v>51</v>
      </c>
      <c r="R55" t="s">
        <v>51</v>
      </c>
      <c r="T55" t="s">
        <v>48</v>
      </c>
      <c r="U55">
        <v>8760</v>
      </c>
      <c r="AA55">
        <f>(I55-G55)/G55</f>
        <v>-0.17561015451659204</v>
      </c>
      <c r="AB55">
        <f>(H55-G55)/G55</f>
        <v>-0.17624812350425226</v>
      </c>
    </row>
    <row r="56" spans="1:28" x14ac:dyDescent="0.3">
      <c r="A56" t="s">
        <v>3</v>
      </c>
      <c r="B56" t="s">
        <v>60</v>
      </c>
      <c r="C56" t="s">
        <v>47</v>
      </c>
      <c r="D56">
        <v>571.65466277566179</v>
      </c>
      <c r="E56">
        <v>598.12</v>
      </c>
      <c r="F56">
        <v>572.22</v>
      </c>
      <c r="G56">
        <v>1122395.656015625</v>
      </c>
      <c r="H56">
        <v>923299.63999999932</v>
      </c>
      <c r="I56">
        <v>891811.48999999871</v>
      </c>
      <c r="J56">
        <v>-230584.16601562628</v>
      </c>
      <c r="K56">
        <v>-199096.01601562568</v>
      </c>
      <c r="L56" t="s">
        <v>48</v>
      </c>
      <c r="M56">
        <v>8760</v>
      </c>
      <c r="N56">
        <v>942</v>
      </c>
      <c r="O56" t="s">
        <v>49</v>
      </c>
      <c r="P56" t="s">
        <v>50</v>
      </c>
      <c r="Q56" t="s">
        <v>51</v>
      </c>
      <c r="R56" t="s">
        <v>51</v>
      </c>
      <c r="T56" t="s">
        <v>48</v>
      </c>
      <c r="U56">
        <v>8760</v>
      </c>
      <c r="V56">
        <v>1</v>
      </c>
      <c r="W56">
        <v>0.90864372253417969</v>
      </c>
      <c r="X56">
        <v>0.90864372253417969</v>
      </c>
      <c r="Y56">
        <v>0.90864372253417969</v>
      </c>
      <c r="Z56">
        <v>0.90864372253417969</v>
      </c>
      <c r="AA56">
        <f>(I56-G56)/G56</f>
        <v>-0.20543928941615244</v>
      </c>
      <c r="AB56">
        <f>(H56-G56)/G56</f>
        <v>-0.1773848775594816</v>
      </c>
    </row>
    <row r="57" spans="1:28" x14ac:dyDescent="0.3">
      <c r="A57" t="s">
        <v>3</v>
      </c>
      <c r="B57" t="s">
        <v>115</v>
      </c>
      <c r="C57" t="s">
        <v>47</v>
      </c>
      <c r="D57">
        <v>568.38171615590954</v>
      </c>
      <c r="E57">
        <v>568.36</v>
      </c>
      <c r="F57">
        <v>568.36</v>
      </c>
      <c r="G57">
        <v>1118867.4885937499</v>
      </c>
      <c r="H57">
        <v>915914.48000000196</v>
      </c>
      <c r="I57">
        <v>917457.43000000296</v>
      </c>
      <c r="J57">
        <v>-201410.05859374697</v>
      </c>
      <c r="K57">
        <v>-202953.00859374797</v>
      </c>
      <c r="L57" t="s">
        <v>48</v>
      </c>
      <c r="M57">
        <v>8760</v>
      </c>
      <c r="N57">
        <v>935</v>
      </c>
      <c r="O57" t="s">
        <v>49</v>
      </c>
      <c r="P57" t="s">
        <v>50</v>
      </c>
      <c r="Q57" t="s">
        <v>51</v>
      </c>
      <c r="R57" t="s">
        <v>51</v>
      </c>
      <c r="T57" t="s">
        <v>48</v>
      </c>
      <c r="U57">
        <v>8760</v>
      </c>
      <c r="AA57">
        <f>(I57-G57)/G57</f>
        <v>-0.18001243279209897</v>
      </c>
      <c r="AB57">
        <f>(H57-G57)/G57</f>
        <v>-0.181391461154019</v>
      </c>
    </row>
    <row r="58" spans="1:28" x14ac:dyDescent="0.3">
      <c r="A58" t="s">
        <v>3</v>
      </c>
      <c r="B58" t="s">
        <v>106</v>
      </c>
      <c r="C58" t="s">
        <v>47</v>
      </c>
      <c r="D58">
        <v>561.49710594149326</v>
      </c>
      <c r="E58">
        <v>561.5</v>
      </c>
      <c r="F58">
        <v>561.5</v>
      </c>
      <c r="G58">
        <v>1007470.938125</v>
      </c>
      <c r="H58">
        <v>817331.97999999986</v>
      </c>
      <c r="I58">
        <v>847816.60999999987</v>
      </c>
      <c r="J58">
        <v>-159654.32812500012</v>
      </c>
      <c r="K58">
        <v>-190138.95812500012</v>
      </c>
      <c r="L58" t="s">
        <v>48</v>
      </c>
      <c r="M58">
        <v>8760</v>
      </c>
      <c r="N58">
        <v>921</v>
      </c>
      <c r="O58" t="s">
        <v>49</v>
      </c>
      <c r="P58" t="s">
        <v>50</v>
      </c>
      <c r="Q58" t="s">
        <v>51</v>
      </c>
      <c r="R58" t="s">
        <v>51</v>
      </c>
      <c r="T58" t="s">
        <v>48</v>
      </c>
      <c r="U58">
        <v>8760</v>
      </c>
      <c r="AA58">
        <f>(I58-G58)/G58</f>
        <v>-0.15847040553063707</v>
      </c>
      <c r="AB58">
        <f>(H58-G58)/G58</f>
        <v>-0.18872897562570584</v>
      </c>
    </row>
    <row r="59" spans="1:28" x14ac:dyDescent="0.3">
      <c r="A59" t="s">
        <v>3</v>
      </c>
      <c r="B59" t="s">
        <v>66</v>
      </c>
      <c r="C59" t="s">
        <v>47</v>
      </c>
      <c r="D59">
        <v>414.43788356804453</v>
      </c>
      <c r="E59">
        <v>414.44</v>
      </c>
      <c r="F59">
        <v>414.44</v>
      </c>
      <c r="G59">
        <v>828231.84578125004</v>
      </c>
      <c r="H59">
        <v>670629.31000000052</v>
      </c>
      <c r="I59">
        <v>670611.2300000008</v>
      </c>
      <c r="J59">
        <v>-157620.61578124925</v>
      </c>
      <c r="K59">
        <v>-157602.53578124952</v>
      </c>
      <c r="L59" t="s">
        <v>48</v>
      </c>
      <c r="M59">
        <v>8760</v>
      </c>
      <c r="N59">
        <v>683</v>
      </c>
      <c r="O59" t="s">
        <v>49</v>
      </c>
      <c r="P59" t="s">
        <v>50</v>
      </c>
      <c r="Q59" t="s">
        <v>51</v>
      </c>
      <c r="R59" t="s">
        <v>51</v>
      </c>
      <c r="T59" t="s">
        <v>48</v>
      </c>
      <c r="U59">
        <v>8760</v>
      </c>
      <c r="AA59">
        <f>(I59-G59)/G59</f>
        <v>-0.1903097744721102</v>
      </c>
      <c r="AB59">
        <f>(H59-G59)/G59</f>
        <v>-0.19028794483576886</v>
      </c>
    </row>
    <row r="60" spans="1:28" x14ac:dyDescent="0.3">
      <c r="A60" t="s">
        <v>3</v>
      </c>
      <c r="B60" t="s">
        <v>90</v>
      </c>
      <c r="C60" t="s">
        <v>47</v>
      </c>
      <c r="D60">
        <v>661.28370925831246</v>
      </c>
      <c r="E60">
        <v>661.43</v>
      </c>
      <c r="F60">
        <v>661.43</v>
      </c>
      <c r="G60">
        <v>1302321.129578125</v>
      </c>
      <c r="H60">
        <v>1053377.6499999992</v>
      </c>
      <c r="I60">
        <v>1058836.5699999984</v>
      </c>
      <c r="J60">
        <v>-243484.55957812653</v>
      </c>
      <c r="K60">
        <v>-248943.47957812576</v>
      </c>
      <c r="L60" t="s">
        <v>48</v>
      </c>
      <c r="M60">
        <v>8760</v>
      </c>
      <c r="N60">
        <v>1092</v>
      </c>
      <c r="O60" t="s">
        <v>49</v>
      </c>
      <c r="P60" t="s">
        <v>50</v>
      </c>
      <c r="Q60" t="s">
        <v>51</v>
      </c>
      <c r="R60" t="s">
        <v>51</v>
      </c>
      <c r="T60" t="s">
        <v>48</v>
      </c>
      <c r="U60">
        <v>8760</v>
      </c>
      <c r="AA60">
        <f>(I60-G60)/G60</f>
        <v>-0.1869619973508386</v>
      </c>
      <c r="AB60">
        <f>(H60-G60)/G60</f>
        <v>-0.19115368239381075</v>
      </c>
    </row>
    <row r="61" spans="1:28" x14ac:dyDescent="0.3">
      <c r="A61" t="s">
        <v>3</v>
      </c>
      <c r="B61" t="s">
        <v>88</v>
      </c>
      <c r="C61" t="s">
        <v>47</v>
      </c>
      <c r="D61">
        <v>564.57488390860794</v>
      </c>
      <c r="E61">
        <v>564.86</v>
      </c>
      <c r="F61">
        <v>564.86</v>
      </c>
      <c r="G61">
        <v>1129771.295484375</v>
      </c>
      <c r="H61">
        <v>911583.10000000021</v>
      </c>
      <c r="I61">
        <v>912732.12000000151</v>
      </c>
      <c r="J61">
        <v>-217039.17548437347</v>
      </c>
      <c r="K61">
        <v>-218188.19548437477</v>
      </c>
      <c r="L61" t="s">
        <v>48</v>
      </c>
      <c r="M61">
        <v>8760</v>
      </c>
      <c r="N61">
        <v>933</v>
      </c>
      <c r="O61" t="s">
        <v>49</v>
      </c>
      <c r="P61" t="s">
        <v>50</v>
      </c>
      <c r="Q61" t="s">
        <v>51</v>
      </c>
      <c r="R61" t="s">
        <v>51</v>
      </c>
      <c r="T61" t="s">
        <v>48</v>
      </c>
      <c r="U61">
        <v>8760</v>
      </c>
      <c r="AA61">
        <f>(I61-G61)/G61</f>
        <v>-0.19210894837907941</v>
      </c>
      <c r="AB61">
        <f>(H61-G61)/G61</f>
        <v>-0.19312598607918197</v>
      </c>
    </row>
    <row r="62" spans="1:28" x14ac:dyDescent="0.3">
      <c r="A62" t="s">
        <v>3</v>
      </c>
      <c r="B62" t="s">
        <v>129</v>
      </c>
      <c r="C62" t="s">
        <v>47</v>
      </c>
      <c r="D62">
        <v>540.70498375820171</v>
      </c>
      <c r="E62">
        <v>548.66999999999996</v>
      </c>
      <c r="F62">
        <v>540.82000000000005</v>
      </c>
      <c r="G62">
        <v>1080045.022046875</v>
      </c>
      <c r="H62">
        <v>871106.88000000082</v>
      </c>
      <c r="I62">
        <v>872578.43000000017</v>
      </c>
      <c r="J62">
        <v>-207466.59204687481</v>
      </c>
      <c r="K62">
        <v>-208938.14204687416</v>
      </c>
      <c r="L62" t="s">
        <v>48</v>
      </c>
      <c r="M62">
        <v>8760</v>
      </c>
      <c r="N62">
        <v>893</v>
      </c>
      <c r="O62" t="s">
        <v>49</v>
      </c>
      <c r="P62" t="s">
        <v>50</v>
      </c>
      <c r="Q62" t="s">
        <v>51</v>
      </c>
      <c r="R62" t="s">
        <v>51</v>
      </c>
      <c r="T62" t="s">
        <v>48</v>
      </c>
      <c r="U62">
        <v>8760</v>
      </c>
      <c r="V62">
        <v>1</v>
      </c>
      <c r="W62">
        <v>0.99335795640945435</v>
      </c>
      <c r="X62">
        <v>0.99335795640945435</v>
      </c>
      <c r="Y62">
        <v>0.99335795640945435</v>
      </c>
      <c r="Z62">
        <v>0.99335795640945435</v>
      </c>
      <c r="AA62">
        <f>(I62-G62)/G62</f>
        <v>-0.19209068863970985</v>
      </c>
      <c r="AB62">
        <f>(H62-G62)/G62</f>
        <v>-0.19345317813779622</v>
      </c>
    </row>
    <row r="63" spans="1:28" x14ac:dyDescent="0.3">
      <c r="A63" t="s">
        <v>3</v>
      </c>
      <c r="B63" t="s">
        <v>108</v>
      </c>
      <c r="C63" t="s">
        <v>47</v>
      </c>
      <c r="D63">
        <v>503.49704152016596</v>
      </c>
      <c r="E63">
        <v>512.4</v>
      </c>
      <c r="F63">
        <v>512.4</v>
      </c>
      <c r="G63">
        <v>914065.09631250007</v>
      </c>
      <c r="H63">
        <v>736833.3199999989</v>
      </c>
      <c r="I63">
        <v>736111.44999999797</v>
      </c>
      <c r="J63">
        <v>-177953.6463125021</v>
      </c>
      <c r="K63">
        <v>-177231.77631250117</v>
      </c>
      <c r="L63" t="s">
        <v>48</v>
      </c>
      <c r="M63">
        <v>8760</v>
      </c>
      <c r="N63">
        <v>830</v>
      </c>
      <c r="O63" t="s">
        <v>49</v>
      </c>
      <c r="P63" t="s">
        <v>50</v>
      </c>
      <c r="Q63" t="s">
        <v>51</v>
      </c>
      <c r="R63" t="s">
        <v>51</v>
      </c>
      <c r="T63" t="s">
        <v>48</v>
      </c>
      <c r="U63">
        <v>8760</v>
      </c>
      <c r="AA63">
        <f>(I63-G63)/G63</f>
        <v>-0.19468377802674941</v>
      </c>
      <c r="AB63">
        <f>(H63-G63)/G63</f>
        <v>-0.19389404215026418</v>
      </c>
    </row>
    <row r="64" spans="1:28" x14ac:dyDescent="0.3">
      <c r="A64" t="s">
        <v>3</v>
      </c>
      <c r="B64" t="s">
        <v>100</v>
      </c>
      <c r="C64" t="s">
        <v>47</v>
      </c>
      <c r="D64">
        <v>430.53762766400268</v>
      </c>
      <c r="E64">
        <v>430.54</v>
      </c>
      <c r="F64">
        <v>430.54</v>
      </c>
      <c r="G64">
        <v>862173.63434374996</v>
      </c>
      <c r="H64">
        <v>694093.27000000037</v>
      </c>
      <c r="I64">
        <v>694835.85999999905</v>
      </c>
      <c r="J64">
        <v>-167337.77434375091</v>
      </c>
      <c r="K64">
        <v>-168080.36434374959</v>
      </c>
      <c r="L64" t="s">
        <v>48</v>
      </c>
      <c r="M64">
        <v>8760</v>
      </c>
      <c r="N64">
        <v>709</v>
      </c>
      <c r="O64" t="s">
        <v>49</v>
      </c>
      <c r="P64" t="s">
        <v>50</v>
      </c>
      <c r="Q64" t="s">
        <v>51</v>
      </c>
      <c r="R64" t="s">
        <v>51</v>
      </c>
      <c r="T64" t="s">
        <v>48</v>
      </c>
      <c r="U64">
        <v>8760</v>
      </c>
      <c r="AA64">
        <f>(I64-G64)/G64</f>
        <v>-0.19408825285073966</v>
      </c>
      <c r="AB64">
        <f>(H64-G64)/G64</f>
        <v>-0.19494955267529754</v>
      </c>
    </row>
    <row r="65" spans="1:28" x14ac:dyDescent="0.3">
      <c r="A65" t="s">
        <v>3</v>
      </c>
      <c r="B65" t="s">
        <v>67</v>
      </c>
      <c r="C65" t="s">
        <v>47</v>
      </c>
      <c r="D65">
        <v>420.23805544098212</v>
      </c>
      <c r="E65">
        <v>420.24</v>
      </c>
      <c r="F65">
        <v>420.24</v>
      </c>
      <c r="G65">
        <v>829411.78229687503</v>
      </c>
      <c r="H65">
        <v>662218.32000000274</v>
      </c>
      <c r="I65">
        <v>648678.68000000005</v>
      </c>
      <c r="J65">
        <v>-180733.10229687497</v>
      </c>
      <c r="K65">
        <v>-167193.46229687228</v>
      </c>
      <c r="L65" t="s">
        <v>48</v>
      </c>
      <c r="M65">
        <v>8760</v>
      </c>
      <c r="N65">
        <v>695</v>
      </c>
      <c r="O65" t="s">
        <v>49</v>
      </c>
      <c r="P65" t="s">
        <v>50</v>
      </c>
      <c r="Q65" t="s">
        <v>51</v>
      </c>
      <c r="R65" t="s">
        <v>51</v>
      </c>
      <c r="T65" t="s">
        <v>48</v>
      </c>
      <c r="U65">
        <v>8760</v>
      </c>
      <c r="AA65">
        <f>(I65-G65)/G65</f>
        <v>-0.21790515417610065</v>
      </c>
      <c r="AB65">
        <f>(H65-G65)/G65</f>
        <v>-0.20158076586983906</v>
      </c>
    </row>
    <row r="66" spans="1:28" x14ac:dyDescent="0.3">
      <c r="A66" t="s">
        <v>3</v>
      </c>
      <c r="B66" t="s">
        <v>142</v>
      </c>
      <c r="C66" t="s">
        <v>47</v>
      </c>
      <c r="D66">
        <v>149.74192203995818</v>
      </c>
      <c r="E66">
        <v>149.74</v>
      </c>
      <c r="F66">
        <v>149.74</v>
      </c>
      <c r="G66">
        <v>302355.46100000001</v>
      </c>
      <c r="H66">
        <v>241117.68000000005</v>
      </c>
      <c r="I66">
        <v>240959.09999999954</v>
      </c>
      <c r="J66">
        <v>-61396.36100000047</v>
      </c>
      <c r="K66">
        <v>-61237.780999999959</v>
      </c>
      <c r="L66" t="s">
        <v>48</v>
      </c>
      <c r="M66">
        <v>8760</v>
      </c>
      <c r="N66">
        <v>247</v>
      </c>
      <c r="O66" t="s">
        <v>49</v>
      </c>
      <c r="P66" t="s">
        <v>50</v>
      </c>
      <c r="Q66" t="s">
        <v>51</v>
      </c>
      <c r="R66" t="s">
        <v>51</v>
      </c>
      <c r="T66" t="s">
        <v>48</v>
      </c>
      <c r="U66">
        <v>8760</v>
      </c>
      <c r="AA66">
        <f>(I66-G66)/G66</f>
        <v>-0.20306020204477296</v>
      </c>
      <c r="AB66">
        <f>(H66-G66)/G66</f>
        <v>-0.20253572003450587</v>
      </c>
    </row>
    <row r="67" spans="1:28" x14ac:dyDescent="0.3">
      <c r="A67" t="s">
        <v>3</v>
      </c>
      <c r="B67" t="s">
        <v>46</v>
      </c>
      <c r="C67" t="s">
        <v>47</v>
      </c>
      <c r="D67">
        <v>2086.1376191852974</v>
      </c>
      <c r="E67">
        <v>2085.98</v>
      </c>
      <c r="F67">
        <v>2085.98</v>
      </c>
      <c r="G67">
        <v>4239866.9084531255</v>
      </c>
      <c r="H67">
        <v>3375643.1399999983</v>
      </c>
      <c r="I67">
        <v>3376707.2899999977</v>
      </c>
      <c r="J67">
        <v>-863159.6184531278</v>
      </c>
      <c r="K67">
        <v>-864223.76845312724</v>
      </c>
      <c r="L67" t="s">
        <v>48</v>
      </c>
      <c r="M67">
        <v>8760</v>
      </c>
      <c r="N67">
        <v>3434</v>
      </c>
      <c r="O67" t="s">
        <v>49</v>
      </c>
      <c r="P67" t="s">
        <v>50</v>
      </c>
      <c r="Q67" t="s">
        <v>51</v>
      </c>
      <c r="R67" t="s">
        <v>51</v>
      </c>
      <c r="T67" t="s">
        <v>48</v>
      </c>
      <c r="U67">
        <v>8760</v>
      </c>
      <c r="AA67">
        <f>(I67-G67)/G67</f>
        <v>-0.20358177204388786</v>
      </c>
      <c r="AB67">
        <f>(H67-G67)/G67</f>
        <v>-0.20383275869582212</v>
      </c>
    </row>
    <row r="68" spans="1:28" x14ac:dyDescent="0.3">
      <c r="A68" t="s">
        <v>3</v>
      </c>
      <c r="B68" t="s">
        <v>119</v>
      </c>
      <c r="C68" t="s">
        <v>47</v>
      </c>
      <c r="D68">
        <v>566.68862364483994</v>
      </c>
      <c r="E68">
        <v>566.69000000000005</v>
      </c>
      <c r="F68">
        <v>566.69000000000005</v>
      </c>
      <c r="G68">
        <v>1105329.5579687501</v>
      </c>
      <c r="H68">
        <v>878678.54000000062</v>
      </c>
      <c r="I68">
        <v>873668.90000000026</v>
      </c>
      <c r="J68">
        <v>-231660.65796874987</v>
      </c>
      <c r="K68">
        <v>-226651.01796874951</v>
      </c>
      <c r="L68" t="s">
        <v>48</v>
      </c>
      <c r="M68">
        <v>8760</v>
      </c>
      <c r="N68">
        <v>935</v>
      </c>
      <c r="O68" t="s">
        <v>49</v>
      </c>
      <c r="P68" t="s">
        <v>50</v>
      </c>
      <c r="Q68" t="s">
        <v>51</v>
      </c>
      <c r="R68" t="s">
        <v>51</v>
      </c>
      <c r="T68" t="s">
        <v>48</v>
      </c>
      <c r="U68">
        <v>8760</v>
      </c>
      <c r="AA68">
        <f>(I68-G68)/G68</f>
        <v>-0.20958514707095111</v>
      </c>
      <c r="AB68">
        <f>(H68-G68)/G68</f>
        <v>-0.20505288792354667</v>
      </c>
    </row>
    <row r="69" spans="1:28" x14ac:dyDescent="0.3">
      <c r="A69" t="s">
        <v>3</v>
      </c>
      <c r="B69" t="s">
        <v>131</v>
      </c>
      <c r="C69" t="s">
        <v>47</v>
      </c>
      <c r="D69">
        <v>661.38113294016262</v>
      </c>
      <c r="E69">
        <v>663.98</v>
      </c>
      <c r="F69">
        <v>661.32</v>
      </c>
      <c r="G69">
        <v>1305121.11371875</v>
      </c>
      <c r="H69">
        <v>1016110.7500000013</v>
      </c>
      <c r="I69">
        <v>1066197.2299999988</v>
      </c>
      <c r="J69">
        <v>-238923.88371875114</v>
      </c>
      <c r="K69">
        <v>-289010.36371874867</v>
      </c>
      <c r="L69" t="s">
        <v>48</v>
      </c>
      <c r="M69">
        <v>8760</v>
      </c>
      <c r="N69">
        <v>1091</v>
      </c>
      <c r="O69" t="s">
        <v>49</v>
      </c>
      <c r="P69" t="s">
        <v>50</v>
      </c>
      <c r="Q69" t="s">
        <v>51</v>
      </c>
      <c r="R69" t="s">
        <v>51</v>
      </c>
      <c r="T69" t="s">
        <v>48</v>
      </c>
      <c r="U69">
        <v>8760</v>
      </c>
      <c r="V69">
        <v>1</v>
      </c>
      <c r="W69">
        <v>0.99326223134994507</v>
      </c>
      <c r="X69">
        <v>0.99326223134994507</v>
      </c>
      <c r="Y69">
        <v>0.99326223134994507</v>
      </c>
      <c r="Z69">
        <v>0.99326223134994507</v>
      </c>
      <c r="AA69">
        <f>(I69-G69)/G69</f>
        <v>-0.18306644587027851</v>
      </c>
      <c r="AB69">
        <f>(H69-G69)/G69</f>
        <v>-0.22144332865419386</v>
      </c>
    </row>
    <row r="70" spans="1:28" x14ac:dyDescent="0.3">
      <c r="A70" t="s">
        <v>3</v>
      </c>
      <c r="B70" t="s">
        <v>98</v>
      </c>
      <c r="C70" t="s">
        <v>47</v>
      </c>
      <c r="D70">
        <v>424.72816741502282</v>
      </c>
      <c r="E70">
        <v>432.43</v>
      </c>
      <c r="F70">
        <v>424.73</v>
      </c>
      <c r="G70">
        <v>861334.29671875003</v>
      </c>
      <c r="H70">
        <v>669754.84999999986</v>
      </c>
      <c r="I70">
        <v>687324.96999999858</v>
      </c>
      <c r="J70">
        <v>-174009.32671875146</v>
      </c>
      <c r="K70">
        <v>-191579.44671875017</v>
      </c>
      <c r="L70" t="s">
        <v>48</v>
      </c>
      <c r="M70">
        <v>8760</v>
      </c>
      <c r="N70">
        <v>700</v>
      </c>
      <c r="O70" t="s">
        <v>49</v>
      </c>
      <c r="P70" t="s">
        <v>50</v>
      </c>
      <c r="Q70" t="s">
        <v>51</v>
      </c>
      <c r="R70" t="s">
        <v>51</v>
      </c>
      <c r="T70" t="s">
        <v>48</v>
      </c>
      <c r="U70">
        <v>8760</v>
      </c>
      <c r="V70">
        <v>2</v>
      </c>
      <c r="W70">
        <v>0.85148093104362488</v>
      </c>
      <c r="X70">
        <v>0.85065333135121823</v>
      </c>
      <c r="Y70">
        <v>0.80305206775665283</v>
      </c>
      <c r="Z70">
        <v>0.89990979433059692</v>
      </c>
      <c r="AA70">
        <f>(I70-G70)/G70</f>
        <v>-0.20202298617579653</v>
      </c>
      <c r="AB70">
        <f>(H70-G70)/G70</f>
        <v>-0.22242170949023091</v>
      </c>
    </row>
    <row r="71" spans="1:28" x14ac:dyDescent="0.3">
      <c r="A71" t="s">
        <v>3</v>
      </c>
      <c r="B71" t="s">
        <v>62</v>
      </c>
      <c r="C71" t="s">
        <v>47</v>
      </c>
      <c r="D71">
        <v>416.62060473409667</v>
      </c>
      <c r="E71">
        <v>423.45</v>
      </c>
      <c r="F71">
        <v>416.62</v>
      </c>
      <c r="G71">
        <v>847260.07865625003</v>
      </c>
      <c r="H71">
        <v>657280.52999999945</v>
      </c>
      <c r="I71">
        <v>666483.47999999765</v>
      </c>
      <c r="J71">
        <v>-180776.59865625238</v>
      </c>
      <c r="K71">
        <v>-189979.54865625058</v>
      </c>
      <c r="L71" t="s">
        <v>48</v>
      </c>
      <c r="M71">
        <v>8760</v>
      </c>
      <c r="N71">
        <v>687</v>
      </c>
      <c r="O71" t="s">
        <v>49</v>
      </c>
      <c r="P71" t="s">
        <v>50</v>
      </c>
      <c r="Q71" t="s">
        <v>51</v>
      </c>
      <c r="R71" t="s">
        <v>51</v>
      </c>
      <c r="T71" t="s">
        <v>48</v>
      </c>
      <c r="U71">
        <v>8760</v>
      </c>
      <c r="V71">
        <v>3</v>
      </c>
      <c r="W71">
        <v>0.68659540017445886</v>
      </c>
      <c r="X71">
        <v>0.62829498365814518</v>
      </c>
      <c r="Y71">
        <v>0.44902467727661133</v>
      </c>
      <c r="Z71">
        <v>0.90935438871383667</v>
      </c>
      <c r="AA71">
        <f>(I71-G71)/G71</f>
        <v>-0.2133661235909558</v>
      </c>
      <c r="AB71">
        <f>(H71-G71)/G71</f>
        <v>-0.22422813660423743</v>
      </c>
    </row>
    <row r="72" spans="1:28" x14ac:dyDescent="0.3">
      <c r="A72" t="s">
        <v>3</v>
      </c>
      <c r="B72" t="s">
        <v>59</v>
      </c>
      <c r="C72" t="s">
        <v>47</v>
      </c>
      <c r="D72">
        <v>805.5638516287878</v>
      </c>
      <c r="E72">
        <v>805.66</v>
      </c>
      <c r="F72">
        <v>805.66</v>
      </c>
      <c r="G72">
        <v>1674260.9289375001</v>
      </c>
      <c r="H72">
        <v>1296309.3499999992</v>
      </c>
      <c r="I72">
        <v>1295804.1200000013</v>
      </c>
      <c r="J72">
        <v>-378456.80893749883</v>
      </c>
      <c r="K72">
        <v>-377951.57893750095</v>
      </c>
      <c r="L72" t="s">
        <v>48</v>
      </c>
      <c r="M72">
        <v>8760</v>
      </c>
      <c r="N72">
        <v>1328</v>
      </c>
      <c r="O72" t="s">
        <v>49</v>
      </c>
      <c r="P72" t="s">
        <v>50</v>
      </c>
      <c r="Q72" t="s">
        <v>51</v>
      </c>
      <c r="R72" t="s">
        <v>51</v>
      </c>
      <c r="T72" t="s">
        <v>48</v>
      </c>
      <c r="U72">
        <v>8760</v>
      </c>
      <c r="AA72">
        <f>(I72-G72)/G72</f>
        <v>-0.22604410244326173</v>
      </c>
      <c r="AB72">
        <f>(H72-G72)/G72</f>
        <v>-0.22574233944368047</v>
      </c>
    </row>
    <row r="73" spans="1:28" x14ac:dyDescent="0.3">
      <c r="A73" t="s">
        <v>3</v>
      </c>
      <c r="B73" t="s">
        <v>107</v>
      </c>
      <c r="C73" t="s">
        <v>47</v>
      </c>
      <c r="D73">
        <v>522.17791906446803</v>
      </c>
      <c r="E73">
        <v>508.45</v>
      </c>
      <c r="F73">
        <v>508.45</v>
      </c>
      <c r="G73">
        <v>1074446.3061875</v>
      </c>
      <c r="H73">
        <v>823305.14000000106</v>
      </c>
      <c r="I73">
        <v>822560.55000000226</v>
      </c>
      <c r="J73">
        <v>-251885.75618749775</v>
      </c>
      <c r="K73">
        <v>-251141.16618749895</v>
      </c>
      <c r="L73" t="s">
        <v>48</v>
      </c>
      <c r="M73">
        <v>8760</v>
      </c>
      <c r="N73">
        <v>859</v>
      </c>
      <c r="O73" t="s">
        <v>49</v>
      </c>
      <c r="P73" t="s">
        <v>50</v>
      </c>
      <c r="Q73" t="s">
        <v>51</v>
      </c>
      <c r="R73" t="s">
        <v>51</v>
      </c>
      <c r="T73" t="s">
        <v>48</v>
      </c>
      <c r="U73">
        <v>8760</v>
      </c>
      <c r="AA73">
        <f>(I73-G73)/G73</f>
        <v>-0.23443307937953073</v>
      </c>
      <c r="AB73">
        <f>(H73-G73)/G73</f>
        <v>-0.23374008058032514</v>
      </c>
    </row>
    <row r="74" spans="1:28" x14ac:dyDescent="0.3">
      <c r="A74" t="s">
        <v>3</v>
      </c>
      <c r="B74" t="s">
        <v>74</v>
      </c>
      <c r="C74" t="s">
        <v>47</v>
      </c>
      <c r="D74">
        <v>423.53515898015962</v>
      </c>
      <c r="E74">
        <v>436.88</v>
      </c>
      <c r="F74">
        <v>423.54</v>
      </c>
      <c r="G74">
        <v>863692.24209375004</v>
      </c>
      <c r="H74">
        <v>658352.57999999984</v>
      </c>
      <c r="I74">
        <v>651435.01999999979</v>
      </c>
      <c r="J74">
        <v>-212257.22209375026</v>
      </c>
      <c r="K74">
        <v>-205339.6620937502</v>
      </c>
      <c r="L74" t="s">
        <v>48</v>
      </c>
      <c r="M74">
        <v>8760</v>
      </c>
      <c r="N74">
        <v>700</v>
      </c>
      <c r="O74" t="s">
        <v>49</v>
      </c>
      <c r="P74" t="s">
        <v>50</v>
      </c>
      <c r="Q74" t="s">
        <v>51</v>
      </c>
      <c r="R74" t="s">
        <v>51</v>
      </c>
      <c r="T74" t="s">
        <v>48</v>
      </c>
      <c r="U74">
        <v>8760</v>
      </c>
      <c r="V74">
        <v>2</v>
      </c>
      <c r="W74">
        <v>0.93985059857368469</v>
      </c>
      <c r="X74">
        <v>0.9398195578160754</v>
      </c>
      <c r="Y74">
        <v>0.90530192852020264</v>
      </c>
      <c r="Z74">
        <v>0.97439926862716675</v>
      </c>
      <c r="AA74">
        <f>(I74-G74)/G74</f>
        <v>-0.24575561959338596</v>
      </c>
      <c r="AB74">
        <f>(H74-G74)/G74</f>
        <v>-0.23774633148952318</v>
      </c>
    </row>
    <row r="75" spans="1:28" x14ac:dyDescent="0.3">
      <c r="A75" t="s">
        <v>3</v>
      </c>
      <c r="B75" t="s">
        <v>99</v>
      </c>
      <c r="C75" t="s">
        <v>47</v>
      </c>
      <c r="D75">
        <v>421.07699765526115</v>
      </c>
      <c r="E75">
        <v>424.7</v>
      </c>
      <c r="F75">
        <v>421.08</v>
      </c>
      <c r="G75">
        <v>883037.54109375004</v>
      </c>
      <c r="H75">
        <v>669249.82000000123</v>
      </c>
      <c r="I75">
        <v>681423.18999999901</v>
      </c>
      <c r="J75">
        <v>-201614.35109375103</v>
      </c>
      <c r="K75">
        <v>-213787.72109374881</v>
      </c>
      <c r="L75" t="s">
        <v>48</v>
      </c>
      <c r="M75">
        <v>8760</v>
      </c>
      <c r="N75">
        <v>696</v>
      </c>
      <c r="O75" t="s">
        <v>49</v>
      </c>
      <c r="P75" t="s">
        <v>50</v>
      </c>
      <c r="Q75" t="s">
        <v>51</v>
      </c>
      <c r="R75" t="s">
        <v>51</v>
      </c>
      <c r="T75" t="s">
        <v>48</v>
      </c>
      <c r="U75">
        <v>8760</v>
      </c>
      <c r="V75">
        <v>2</v>
      </c>
      <c r="W75">
        <v>0.61179861426353455</v>
      </c>
      <c r="X75">
        <v>0.61175839215468386</v>
      </c>
      <c r="Y75">
        <v>0.60672730207443237</v>
      </c>
      <c r="Z75">
        <v>0.61686992645263672</v>
      </c>
      <c r="AA75">
        <f>(I75-G75)/G75</f>
        <v>-0.22831911635832264</v>
      </c>
      <c r="AB75">
        <f>(H75-G75)/G75</f>
        <v>-0.2421049062409584</v>
      </c>
    </row>
    <row r="76" spans="1:28" x14ac:dyDescent="0.3">
      <c r="A76" t="s">
        <v>3</v>
      </c>
      <c r="B76" t="s">
        <v>138</v>
      </c>
      <c r="C76" t="s">
        <v>47</v>
      </c>
      <c r="D76">
        <v>665.00197536834639</v>
      </c>
      <c r="E76">
        <v>664.96</v>
      </c>
      <c r="F76">
        <v>664.96</v>
      </c>
      <c r="G76">
        <v>1424909.3127265626</v>
      </c>
      <c r="H76">
        <v>1073581.2199999995</v>
      </c>
      <c r="I76">
        <v>1075052.6799999985</v>
      </c>
      <c r="J76">
        <v>-349856.63272656407</v>
      </c>
      <c r="K76">
        <v>-351328.0927265631</v>
      </c>
      <c r="L76" t="s">
        <v>48</v>
      </c>
      <c r="M76">
        <v>8760</v>
      </c>
      <c r="N76">
        <v>1095</v>
      </c>
      <c r="O76" t="s">
        <v>49</v>
      </c>
      <c r="P76" t="s">
        <v>50</v>
      </c>
      <c r="Q76" t="s">
        <v>51</v>
      </c>
      <c r="R76" t="s">
        <v>51</v>
      </c>
      <c r="T76" t="s">
        <v>48</v>
      </c>
      <c r="U76">
        <v>8760</v>
      </c>
      <c r="AA76">
        <f>(I76-G76)/G76</f>
        <v>-0.24552905199076405</v>
      </c>
      <c r="AB76">
        <f>(H76-G76)/G76</f>
        <v>-0.24656172121880313</v>
      </c>
    </row>
    <row r="77" spans="1:28" x14ac:dyDescent="0.3">
      <c r="A77" t="s">
        <v>3</v>
      </c>
      <c r="B77" t="s">
        <v>79</v>
      </c>
      <c r="C77" t="s">
        <v>47</v>
      </c>
      <c r="D77">
        <v>416.23740995591561</v>
      </c>
      <c r="E77">
        <v>425.83</v>
      </c>
      <c r="F77">
        <v>416.24</v>
      </c>
      <c r="G77">
        <v>849382.3451875</v>
      </c>
      <c r="H77">
        <v>636772.61000000022</v>
      </c>
      <c r="I77">
        <v>636013.10999999882</v>
      </c>
      <c r="J77">
        <v>-213369.23518750118</v>
      </c>
      <c r="K77">
        <v>-212609.73518749978</v>
      </c>
      <c r="L77" t="s">
        <v>48</v>
      </c>
      <c r="M77">
        <v>8760</v>
      </c>
      <c r="N77">
        <v>685</v>
      </c>
      <c r="O77" t="s">
        <v>49</v>
      </c>
      <c r="P77" t="s">
        <v>50</v>
      </c>
      <c r="Q77" t="s">
        <v>51</v>
      </c>
      <c r="R77" t="s">
        <v>51</v>
      </c>
      <c r="T77" t="s">
        <v>48</v>
      </c>
      <c r="U77">
        <v>8760</v>
      </c>
      <c r="V77">
        <v>3</v>
      </c>
      <c r="W77">
        <v>0.93022606770197547</v>
      </c>
      <c r="X77">
        <v>0.92360558045470031</v>
      </c>
      <c r="Y77">
        <v>0.90376931428909302</v>
      </c>
      <c r="Z77">
        <v>0.95938915014266968</v>
      </c>
      <c r="AA77">
        <f>(I77-G77)/G77</f>
        <v>-0.2512051685515081</v>
      </c>
      <c r="AB77">
        <f>(H77-G77)/G77</f>
        <v>-0.25031098938201557</v>
      </c>
    </row>
    <row r="78" spans="1:28" x14ac:dyDescent="0.3">
      <c r="A78" t="s">
        <v>3</v>
      </c>
      <c r="B78" t="s">
        <v>52</v>
      </c>
      <c r="C78" t="s">
        <v>47</v>
      </c>
      <c r="D78">
        <v>317.38858840514365</v>
      </c>
      <c r="E78">
        <v>327.45</v>
      </c>
      <c r="F78">
        <v>321.22000000000003</v>
      </c>
      <c r="G78">
        <v>717856.83793749998</v>
      </c>
      <c r="H78">
        <v>525172.1599999998</v>
      </c>
      <c r="I78">
        <v>519890.32000000146</v>
      </c>
      <c r="J78">
        <v>-197966.51793749852</v>
      </c>
      <c r="K78">
        <v>-192684.67793750018</v>
      </c>
      <c r="L78" t="s">
        <v>48</v>
      </c>
      <c r="M78">
        <v>8760</v>
      </c>
      <c r="N78">
        <v>524</v>
      </c>
      <c r="O78" t="s">
        <v>49</v>
      </c>
      <c r="P78" t="s">
        <v>50</v>
      </c>
      <c r="Q78" t="s">
        <v>51</v>
      </c>
      <c r="R78" t="s">
        <v>51</v>
      </c>
      <c r="T78" t="s">
        <v>48</v>
      </c>
      <c r="U78">
        <v>8760</v>
      </c>
      <c r="V78">
        <v>2</v>
      </c>
      <c r="W78">
        <v>0.97838461399078369</v>
      </c>
      <c r="X78">
        <v>0.97838565951912015</v>
      </c>
      <c r="Y78">
        <v>0.95715153217315674</v>
      </c>
      <c r="Z78">
        <v>0.99961769580841064</v>
      </c>
      <c r="AA78">
        <f>(I78-G78)/G78</f>
        <v>-0.27577437098221863</v>
      </c>
      <c r="AB78">
        <f>(H78-G78)/G78</f>
        <v>-0.2684165807922223</v>
      </c>
    </row>
    <row r="79" spans="1:28" x14ac:dyDescent="0.3">
      <c r="A79" t="s">
        <v>3</v>
      </c>
      <c r="B79" t="s">
        <v>56</v>
      </c>
      <c r="C79" t="s">
        <v>47</v>
      </c>
      <c r="D79">
        <v>71.89467747199302</v>
      </c>
      <c r="E79">
        <v>71.89</v>
      </c>
      <c r="F79">
        <v>71.89</v>
      </c>
      <c r="G79">
        <v>157879.78368749999</v>
      </c>
      <c r="H79">
        <v>114971.07999999997</v>
      </c>
      <c r="I79">
        <v>115051.87999999982</v>
      </c>
      <c r="J79">
        <v>-42827.903687500177</v>
      </c>
      <c r="K79">
        <v>-42908.703687500019</v>
      </c>
      <c r="L79" t="s">
        <v>48</v>
      </c>
      <c r="M79">
        <v>8760</v>
      </c>
      <c r="N79">
        <v>118</v>
      </c>
      <c r="O79" t="s">
        <v>49</v>
      </c>
      <c r="P79" t="s">
        <v>50</v>
      </c>
      <c r="Q79" t="s">
        <v>51</v>
      </c>
      <c r="R79" t="s">
        <v>51</v>
      </c>
      <c r="T79" t="s">
        <v>48</v>
      </c>
      <c r="U79">
        <v>8760</v>
      </c>
      <c r="AA79">
        <f>(I79-G79)/G79</f>
        <v>-0.27126908010129891</v>
      </c>
      <c r="AB79">
        <f>(H79-G79)/G79</f>
        <v>-0.27178086190206302</v>
      </c>
    </row>
    <row r="80" spans="1:28" x14ac:dyDescent="0.3">
      <c r="A80" t="s">
        <v>3</v>
      </c>
      <c r="B80" t="s">
        <v>127</v>
      </c>
      <c r="C80" t="s">
        <v>47</v>
      </c>
      <c r="D80">
        <v>326.85595931335115</v>
      </c>
      <c r="E80">
        <v>333.09</v>
      </c>
      <c r="F80">
        <v>326.83</v>
      </c>
      <c r="G80">
        <v>733366.15800000005</v>
      </c>
      <c r="H80">
        <v>531352.46000000031</v>
      </c>
      <c r="I80">
        <v>528496.1999999996</v>
      </c>
      <c r="J80">
        <v>-204869.95800000045</v>
      </c>
      <c r="K80">
        <v>-202013.69799999974</v>
      </c>
      <c r="L80" t="s">
        <v>48</v>
      </c>
      <c r="M80">
        <v>8760</v>
      </c>
      <c r="N80">
        <v>540</v>
      </c>
      <c r="O80" t="s">
        <v>49</v>
      </c>
      <c r="P80" t="s">
        <v>50</v>
      </c>
      <c r="Q80" t="s">
        <v>51</v>
      </c>
      <c r="R80" t="s">
        <v>51</v>
      </c>
      <c r="T80" t="s">
        <v>48</v>
      </c>
      <c r="U80">
        <v>8760</v>
      </c>
      <c r="V80">
        <v>2</v>
      </c>
      <c r="W80">
        <v>0.99165177345275879</v>
      </c>
      <c r="X80">
        <v>0.99164466363295578</v>
      </c>
      <c r="Y80">
        <v>0.98536080121994019</v>
      </c>
      <c r="Z80">
        <v>0.99794274568557739</v>
      </c>
      <c r="AA80">
        <f>(I80-G80)/G80</f>
        <v>-0.27935562033392936</v>
      </c>
      <c r="AB80">
        <f>(H80-G80)/G80</f>
        <v>-0.27546089466538998</v>
      </c>
    </row>
    <row r="81" spans="1:28" x14ac:dyDescent="0.3">
      <c r="A81" t="s">
        <v>3</v>
      </c>
      <c r="B81" t="s">
        <v>128</v>
      </c>
      <c r="C81" t="s">
        <v>47</v>
      </c>
      <c r="D81">
        <v>328.64711879678572</v>
      </c>
      <c r="E81">
        <v>335.58</v>
      </c>
      <c r="F81">
        <v>328.65</v>
      </c>
      <c r="G81">
        <v>742124.19281250006</v>
      </c>
      <c r="H81">
        <v>533953.42999999819</v>
      </c>
      <c r="I81">
        <v>531143.54999999993</v>
      </c>
      <c r="J81">
        <v>-210980.64281250013</v>
      </c>
      <c r="K81">
        <v>-208170.76281250187</v>
      </c>
      <c r="L81" t="s">
        <v>48</v>
      </c>
      <c r="M81">
        <v>8760</v>
      </c>
      <c r="N81">
        <v>540</v>
      </c>
      <c r="O81" t="s">
        <v>49</v>
      </c>
      <c r="P81" t="s">
        <v>50</v>
      </c>
      <c r="Q81" t="s">
        <v>51</v>
      </c>
      <c r="R81" t="s">
        <v>51</v>
      </c>
      <c r="T81" t="s">
        <v>48</v>
      </c>
      <c r="U81">
        <v>8760</v>
      </c>
      <c r="V81">
        <v>2</v>
      </c>
      <c r="W81">
        <v>0.99114465713500977</v>
      </c>
      <c r="X81">
        <v>0.99114532505365038</v>
      </c>
      <c r="Y81">
        <v>0.98438894748687744</v>
      </c>
      <c r="Z81">
        <v>0.99790036678314209</v>
      </c>
      <c r="AA81">
        <f>(I81-G81)/G81</f>
        <v>-0.28429290522510298</v>
      </c>
      <c r="AB81">
        <f>(H81-G81)/G81</f>
        <v>-0.28050663868479603</v>
      </c>
    </row>
    <row r="82" spans="1:28" x14ac:dyDescent="0.3">
      <c r="A82" t="s">
        <v>3</v>
      </c>
      <c r="B82" t="s">
        <v>54</v>
      </c>
      <c r="C82" t="s">
        <v>47</v>
      </c>
      <c r="D82">
        <v>173.40734779007312</v>
      </c>
      <c r="E82">
        <v>173.41</v>
      </c>
      <c r="F82">
        <v>173.41</v>
      </c>
      <c r="G82">
        <v>338587.97006249998</v>
      </c>
      <c r="H82">
        <v>242109.77999999985</v>
      </c>
      <c r="I82">
        <v>242513.39999999962</v>
      </c>
      <c r="J82">
        <v>-96074.570062500366</v>
      </c>
      <c r="K82">
        <v>-96478.190062500129</v>
      </c>
      <c r="L82" t="s">
        <v>48</v>
      </c>
      <c r="M82">
        <v>8760</v>
      </c>
      <c r="N82">
        <v>284</v>
      </c>
      <c r="O82" t="s">
        <v>49</v>
      </c>
      <c r="P82" t="s">
        <v>50</v>
      </c>
      <c r="Q82" t="s">
        <v>51</v>
      </c>
      <c r="R82" t="s">
        <v>51</v>
      </c>
      <c r="T82" t="s">
        <v>48</v>
      </c>
      <c r="U82">
        <v>8760</v>
      </c>
      <c r="AA82">
        <f>(I82-G82)/G82</f>
        <v>-0.28375068979788609</v>
      </c>
      <c r="AB82">
        <f>(H82-G82)/G82</f>
        <v>-0.28494275813960906</v>
      </c>
    </row>
    <row r="83" spans="1:28" x14ac:dyDescent="0.3">
      <c r="A83" t="s">
        <v>3</v>
      </c>
      <c r="B83" t="s">
        <v>53</v>
      </c>
      <c r="C83" t="s">
        <v>47</v>
      </c>
      <c r="D83">
        <v>457.85872195837248</v>
      </c>
      <c r="E83">
        <v>457.86</v>
      </c>
      <c r="F83">
        <v>457.86</v>
      </c>
      <c r="G83">
        <v>1012617.588</v>
      </c>
      <c r="H83">
        <v>721783.7499999993</v>
      </c>
      <c r="I83">
        <v>721691.23999999941</v>
      </c>
      <c r="J83">
        <v>-290926.34800000058</v>
      </c>
      <c r="K83">
        <v>-290833.83800000069</v>
      </c>
      <c r="L83" t="s">
        <v>48</v>
      </c>
      <c r="M83">
        <v>8760</v>
      </c>
      <c r="N83">
        <v>755</v>
      </c>
      <c r="O83" t="s">
        <v>49</v>
      </c>
      <c r="P83" t="s">
        <v>50</v>
      </c>
      <c r="Q83" t="s">
        <v>51</v>
      </c>
      <c r="R83" t="s">
        <v>51</v>
      </c>
      <c r="T83" t="s">
        <v>48</v>
      </c>
      <c r="U83">
        <v>8760</v>
      </c>
      <c r="AA83">
        <f>(I83-G83)/G83</f>
        <v>-0.2873012985826201</v>
      </c>
      <c r="AB83">
        <f>(H83-G83)/G83</f>
        <v>-0.28720994129128308</v>
      </c>
    </row>
    <row r="84" spans="1:28" x14ac:dyDescent="0.3">
      <c r="A84" t="s">
        <v>3</v>
      </c>
      <c r="B84" t="s">
        <v>76</v>
      </c>
      <c r="C84" t="s">
        <v>47</v>
      </c>
      <c r="D84">
        <v>415.17745252435157</v>
      </c>
      <c r="E84">
        <v>426.74</v>
      </c>
      <c r="F84">
        <v>415.18</v>
      </c>
      <c r="G84">
        <v>860360.60800000001</v>
      </c>
      <c r="H84">
        <v>604418.79000000097</v>
      </c>
      <c r="I84">
        <v>666541.42000000039</v>
      </c>
      <c r="J84">
        <v>-193819.18799999962</v>
      </c>
      <c r="K84">
        <v>-255941.81799999904</v>
      </c>
      <c r="L84" t="s">
        <v>48</v>
      </c>
      <c r="M84">
        <v>8760</v>
      </c>
      <c r="N84">
        <v>685</v>
      </c>
      <c r="O84" t="s">
        <v>49</v>
      </c>
      <c r="P84" t="s">
        <v>50</v>
      </c>
      <c r="Q84" t="s">
        <v>51</v>
      </c>
      <c r="R84" t="s">
        <v>51</v>
      </c>
      <c r="T84" t="s">
        <v>48</v>
      </c>
      <c r="U84">
        <v>8760</v>
      </c>
      <c r="V84">
        <v>3</v>
      </c>
      <c r="W84">
        <v>0.73863983154296875</v>
      </c>
      <c r="X84">
        <v>0.67289777141784146</v>
      </c>
      <c r="Y84">
        <v>0.47611451148986816</v>
      </c>
      <c r="Z84">
        <v>0.96404224634170532</v>
      </c>
      <c r="AA84">
        <f>(I84-G84)/G84</f>
        <v>-0.22527668770255879</v>
      </c>
      <c r="AB84">
        <f>(H84-G84)/G84</f>
        <v>-0.29748202744307772</v>
      </c>
    </row>
    <row r="85" spans="1:28" x14ac:dyDescent="0.3">
      <c r="A85" t="s">
        <v>3</v>
      </c>
      <c r="B85" t="s">
        <v>93</v>
      </c>
      <c r="C85" t="s">
        <v>47</v>
      </c>
      <c r="D85">
        <v>200.60839360905481</v>
      </c>
      <c r="E85">
        <v>205.69</v>
      </c>
      <c r="F85">
        <v>200.62</v>
      </c>
      <c r="G85">
        <v>462415.10306250001</v>
      </c>
      <c r="H85">
        <v>324510.51000000007</v>
      </c>
      <c r="I85">
        <v>315069.77999999915</v>
      </c>
      <c r="J85">
        <v>-147345.32306250086</v>
      </c>
      <c r="K85">
        <v>-137904.59306249995</v>
      </c>
      <c r="L85" t="s">
        <v>48</v>
      </c>
      <c r="M85">
        <v>8760</v>
      </c>
      <c r="N85">
        <v>331</v>
      </c>
      <c r="O85" t="s">
        <v>49</v>
      </c>
      <c r="P85" t="s">
        <v>50</v>
      </c>
      <c r="Q85" t="s">
        <v>51</v>
      </c>
      <c r="R85" t="s">
        <v>51</v>
      </c>
      <c r="T85" t="s">
        <v>48</v>
      </c>
      <c r="U85">
        <v>8760</v>
      </c>
      <c r="V85">
        <v>2</v>
      </c>
      <c r="W85">
        <v>0.98383188247680664</v>
      </c>
      <c r="X85">
        <v>0.98381873412624943</v>
      </c>
      <c r="Y85">
        <v>0.97810351848602295</v>
      </c>
      <c r="Z85">
        <v>0.98956024646759033</v>
      </c>
      <c r="AA85">
        <f>(I85-G85)/G85</f>
        <v>-0.31864297270278752</v>
      </c>
      <c r="AB85">
        <f>(H85-G85)/G85</f>
        <v>-0.29822683590821375</v>
      </c>
    </row>
    <row r="86" spans="1:28" x14ac:dyDescent="0.3">
      <c r="A86" t="s">
        <v>3</v>
      </c>
      <c r="B86" t="s">
        <v>136</v>
      </c>
      <c r="C86" t="s">
        <v>47</v>
      </c>
      <c r="D86">
        <v>281.98559520322209</v>
      </c>
      <c r="E86">
        <v>282.12</v>
      </c>
      <c r="F86">
        <v>282.12</v>
      </c>
      <c r="G86">
        <v>592909.90637500002</v>
      </c>
      <c r="H86">
        <v>410970.58000000048</v>
      </c>
      <c r="I86">
        <v>410985.85000000044</v>
      </c>
      <c r="J86">
        <v>-181924.05637499958</v>
      </c>
      <c r="K86">
        <v>-181939.32637499954</v>
      </c>
      <c r="L86" t="s">
        <v>48</v>
      </c>
      <c r="M86">
        <v>8760</v>
      </c>
      <c r="N86">
        <v>465</v>
      </c>
      <c r="O86" t="s">
        <v>49</v>
      </c>
      <c r="P86" t="s">
        <v>50</v>
      </c>
      <c r="Q86" t="s">
        <v>51</v>
      </c>
      <c r="R86" t="s">
        <v>51</v>
      </c>
      <c r="T86" t="s">
        <v>48</v>
      </c>
      <c r="U86">
        <v>8760</v>
      </c>
      <c r="AA86">
        <f>(I86-G86)/G86</f>
        <v>-0.30683254642727686</v>
      </c>
      <c r="AB86">
        <f>(H86-G86)/G86</f>
        <v>-0.30685830076168041</v>
      </c>
    </row>
    <row r="87" spans="1:28" x14ac:dyDescent="0.3">
      <c r="A87" t="s">
        <v>3</v>
      </c>
      <c r="B87" t="s">
        <v>122</v>
      </c>
      <c r="C87" t="s">
        <v>47</v>
      </c>
      <c r="D87">
        <v>418.80261115403152</v>
      </c>
      <c r="E87">
        <v>420.55</v>
      </c>
      <c r="F87">
        <v>418.8</v>
      </c>
      <c r="G87">
        <v>814962.61168750003</v>
      </c>
      <c r="H87">
        <v>563087.51999999955</v>
      </c>
      <c r="I87">
        <v>646630.38000000082</v>
      </c>
      <c r="J87">
        <v>-168332.23168749921</v>
      </c>
      <c r="K87">
        <v>-251875.09168750048</v>
      </c>
      <c r="L87" t="s">
        <v>48</v>
      </c>
      <c r="M87">
        <v>8760</v>
      </c>
      <c r="N87">
        <v>687</v>
      </c>
      <c r="O87" t="s">
        <v>49</v>
      </c>
      <c r="P87" t="s">
        <v>50</v>
      </c>
      <c r="Q87" t="s">
        <v>51</v>
      </c>
      <c r="R87" t="s">
        <v>51</v>
      </c>
      <c r="T87" t="s">
        <v>48</v>
      </c>
      <c r="U87">
        <v>8760</v>
      </c>
      <c r="V87">
        <v>2</v>
      </c>
      <c r="W87">
        <v>0.75807273387908936</v>
      </c>
      <c r="X87">
        <v>0.75886198308130115</v>
      </c>
      <c r="Y87">
        <v>0.56591540575027466</v>
      </c>
      <c r="Z87">
        <v>0.95023006200790405</v>
      </c>
      <c r="AA87">
        <f>(I87-G87)/G87</f>
        <v>-0.20655209119218679</v>
      </c>
      <c r="AB87">
        <f>(H87-G87)/G87</f>
        <v>-0.30906337060783196</v>
      </c>
    </row>
    <row r="88" spans="1:28" x14ac:dyDescent="0.3">
      <c r="A88" t="s">
        <v>3</v>
      </c>
      <c r="B88" t="s">
        <v>133</v>
      </c>
      <c r="C88" t="s">
        <v>47</v>
      </c>
      <c r="D88">
        <v>253.48233594908274</v>
      </c>
      <c r="E88">
        <v>253.48</v>
      </c>
      <c r="F88">
        <v>253.48</v>
      </c>
      <c r="G88">
        <v>604371.13193749997</v>
      </c>
      <c r="H88">
        <v>407884.60999999952</v>
      </c>
      <c r="I88">
        <v>407945.31000000052</v>
      </c>
      <c r="J88">
        <v>-196425.82193749945</v>
      </c>
      <c r="K88">
        <v>-196486.52193750045</v>
      </c>
      <c r="L88" t="s">
        <v>48</v>
      </c>
      <c r="M88">
        <v>8760</v>
      </c>
      <c r="N88">
        <v>415</v>
      </c>
      <c r="O88" t="s">
        <v>49</v>
      </c>
      <c r="P88" t="s">
        <v>50</v>
      </c>
      <c r="Q88" t="s">
        <v>51</v>
      </c>
      <c r="R88" t="s">
        <v>51</v>
      </c>
      <c r="T88" t="s">
        <v>48</v>
      </c>
      <c r="U88">
        <v>8760</v>
      </c>
      <c r="AA88">
        <f>(I88-G88)/G88</f>
        <v>-0.32500861069885201</v>
      </c>
      <c r="AB88">
        <f>(H88-G88)/G88</f>
        <v>-0.3251090456746365</v>
      </c>
    </row>
    <row r="89" spans="1:28" x14ac:dyDescent="0.3">
      <c r="A89" t="s">
        <v>3</v>
      </c>
      <c r="B89" t="s">
        <v>134</v>
      </c>
      <c r="C89" t="s">
        <v>47</v>
      </c>
      <c r="D89">
        <v>262.43204249354011</v>
      </c>
      <c r="E89">
        <v>262.43</v>
      </c>
      <c r="F89">
        <v>262.43</v>
      </c>
      <c r="G89">
        <v>628658.22600000002</v>
      </c>
      <c r="H89">
        <v>421338.68000000011</v>
      </c>
      <c r="I89">
        <v>421625.18000000058</v>
      </c>
      <c r="J89">
        <v>-207033.04599999945</v>
      </c>
      <c r="K89">
        <v>-207319.54599999991</v>
      </c>
      <c r="L89" t="s">
        <v>48</v>
      </c>
      <c r="M89">
        <v>8760</v>
      </c>
      <c r="N89">
        <v>433</v>
      </c>
      <c r="O89" t="s">
        <v>49</v>
      </c>
      <c r="P89" t="s">
        <v>50</v>
      </c>
      <c r="Q89" t="s">
        <v>51</v>
      </c>
      <c r="R89" t="s">
        <v>51</v>
      </c>
      <c r="T89" t="s">
        <v>48</v>
      </c>
      <c r="U89">
        <v>8760</v>
      </c>
      <c r="AA89">
        <f>(I89-G89)/G89</f>
        <v>-0.32932527952000334</v>
      </c>
      <c r="AB89">
        <f>(H89-G89)/G89</f>
        <v>-0.32978101204389537</v>
      </c>
    </row>
    <row r="90" spans="1:28" x14ac:dyDescent="0.3">
      <c r="A90" t="s">
        <v>3</v>
      </c>
      <c r="B90" t="s">
        <v>148</v>
      </c>
      <c r="C90" t="s">
        <v>47</v>
      </c>
      <c r="D90">
        <v>569.67277232358367</v>
      </c>
      <c r="E90">
        <v>558.33000000000004</v>
      </c>
      <c r="F90">
        <v>558.33000000000004</v>
      </c>
      <c r="G90">
        <v>1312018.2699375001</v>
      </c>
      <c r="H90">
        <v>866537.84999999928</v>
      </c>
      <c r="I90">
        <v>865731.5200000006</v>
      </c>
      <c r="J90">
        <v>-446286.74993749952</v>
      </c>
      <c r="K90">
        <v>-445480.41993750085</v>
      </c>
      <c r="L90" t="s">
        <v>48</v>
      </c>
      <c r="M90">
        <v>8760</v>
      </c>
      <c r="N90">
        <v>941</v>
      </c>
      <c r="O90" t="s">
        <v>49</v>
      </c>
      <c r="P90" t="s">
        <v>50</v>
      </c>
      <c r="Q90" t="s">
        <v>51</v>
      </c>
      <c r="R90" t="s">
        <v>51</v>
      </c>
      <c r="T90" t="s">
        <v>48</v>
      </c>
      <c r="U90">
        <v>8760</v>
      </c>
      <c r="AA90">
        <f>(I90-G90)/G90</f>
        <v>-0.34015284707792903</v>
      </c>
      <c r="AB90">
        <f>(H90-G90)/G90</f>
        <v>-0.33953827484332361</v>
      </c>
    </row>
    <row r="91" spans="1:28" x14ac:dyDescent="0.3">
      <c r="A91" t="s">
        <v>3</v>
      </c>
      <c r="B91" t="s">
        <v>144</v>
      </c>
      <c r="C91" t="s">
        <v>47</v>
      </c>
      <c r="D91">
        <v>171.2427252209369</v>
      </c>
      <c r="E91">
        <v>171.24</v>
      </c>
      <c r="F91">
        <v>171.24</v>
      </c>
      <c r="G91">
        <v>369027.93806250003</v>
      </c>
      <c r="H91">
        <v>241778.69000000009</v>
      </c>
      <c r="I91">
        <v>242054.46999999892</v>
      </c>
      <c r="J91">
        <v>-126973.46806250111</v>
      </c>
      <c r="K91">
        <v>-127249.24806249994</v>
      </c>
      <c r="L91" t="s">
        <v>48</v>
      </c>
      <c r="M91">
        <v>8760</v>
      </c>
      <c r="N91">
        <v>284</v>
      </c>
      <c r="O91" t="s">
        <v>49</v>
      </c>
      <c r="P91" t="s">
        <v>50</v>
      </c>
      <c r="Q91" t="s">
        <v>51</v>
      </c>
      <c r="R91" t="s">
        <v>51</v>
      </c>
      <c r="T91" t="s">
        <v>48</v>
      </c>
      <c r="U91">
        <v>8760</v>
      </c>
      <c r="AA91">
        <f>(I91-G91)/G91</f>
        <v>-0.34407548850948078</v>
      </c>
      <c r="AB91">
        <f>(H91-G91)/G91</f>
        <v>-0.3448228032018229</v>
      </c>
    </row>
    <row r="92" spans="1:28" x14ac:dyDescent="0.3">
      <c r="A92" t="s">
        <v>3</v>
      </c>
      <c r="B92" t="s">
        <v>145</v>
      </c>
      <c r="C92" t="s">
        <v>47</v>
      </c>
      <c r="D92">
        <v>778.4170689689646</v>
      </c>
      <c r="E92">
        <v>778.42</v>
      </c>
      <c r="F92">
        <v>778.42</v>
      </c>
      <c r="G92">
        <v>1800325.9511250001</v>
      </c>
      <c r="H92">
        <v>1168741.6299999945</v>
      </c>
      <c r="I92">
        <v>1167723.2400000007</v>
      </c>
      <c r="J92">
        <v>-632602.71112499945</v>
      </c>
      <c r="K92">
        <v>-631584.3211250056</v>
      </c>
      <c r="L92" t="s">
        <v>48</v>
      </c>
      <c r="M92">
        <v>8760</v>
      </c>
      <c r="N92">
        <v>1282</v>
      </c>
      <c r="O92" t="s">
        <v>49</v>
      </c>
      <c r="P92" t="s">
        <v>50</v>
      </c>
      <c r="Q92" t="s">
        <v>51</v>
      </c>
      <c r="R92" t="s">
        <v>51</v>
      </c>
      <c r="T92" t="s">
        <v>48</v>
      </c>
      <c r="U92">
        <v>8760</v>
      </c>
      <c r="AA92">
        <f>(I92-G92)/G92</f>
        <v>-0.35138232092343852</v>
      </c>
      <c r="AB92">
        <f>(H92-G92)/G92</f>
        <v>-0.35081665113494409</v>
      </c>
    </row>
    <row r="93" spans="1:28" x14ac:dyDescent="0.3">
      <c r="A93" t="s">
        <v>3</v>
      </c>
      <c r="B93" t="s">
        <v>146</v>
      </c>
      <c r="C93" t="s">
        <v>47</v>
      </c>
      <c r="D93">
        <v>888.5644195370478</v>
      </c>
      <c r="E93">
        <v>888.54</v>
      </c>
      <c r="F93">
        <v>888.54</v>
      </c>
      <c r="G93">
        <v>2365196.2662499999</v>
      </c>
      <c r="H93">
        <v>1403468.4599999995</v>
      </c>
      <c r="I93">
        <v>1404426.1499999971</v>
      </c>
      <c r="J93">
        <v>-960770.11625000276</v>
      </c>
      <c r="K93">
        <v>-961727.80625000037</v>
      </c>
      <c r="L93" t="s">
        <v>48</v>
      </c>
      <c r="M93">
        <v>8760</v>
      </c>
      <c r="N93">
        <v>1463</v>
      </c>
      <c r="O93" t="s">
        <v>49</v>
      </c>
      <c r="P93" t="s">
        <v>50</v>
      </c>
      <c r="Q93" t="s">
        <v>51</v>
      </c>
      <c r="R93" t="s">
        <v>51</v>
      </c>
      <c r="T93" t="s">
        <v>48</v>
      </c>
      <c r="U93">
        <v>8760</v>
      </c>
      <c r="AA93">
        <f>(I93-G93)/G93</f>
        <v>-0.40621158166011156</v>
      </c>
      <c r="AB93">
        <f>(H93-G93)/G93</f>
        <v>-0.40661649097510721</v>
      </c>
    </row>
    <row r="94" spans="1:28" x14ac:dyDescent="0.3">
      <c r="A94" t="s">
        <v>3</v>
      </c>
      <c r="B94" t="s">
        <v>147</v>
      </c>
      <c r="C94" t="s">
        <v>47</v>
      </c>
      <c r="D94">
        <v>721.19709641877284</v>
      </c>
      <c r="E94">
        <v>717.19</v>
      </c>
      <c r="F94">
        <v>717.19</v>
      </c>
      <c r="G94">
        <v>1864002.42025</v>
      </c>
      <c r="H94">
        <v>1017801.0599999999</v>
      </c>
      <c r="I94">
        <v>1019688.4999999991</v>
      </c>
      <c r="J94">
        <v>-844313.9202500009</v>
      </c>
      <c r="K94">
        <v>-846201.36025000003</v>
      </c>
      <c r="L94" t="s">
        <v>48</v>
      </c>
      <c r="M94">
        <v>8760</v>
      </c>
      <c r="N94">
        <v>1189</v>
      </c>
      <c r="O94" t="s">
        <v>49</v>
      </c>
      <c r="P94" t="s">
        <v>50</v>
      </c>
      <c r="Q94" t="s">
        <v>51</v>
      </c>
      <c r="R94" t="s">
        <v>51</v>
      </c>
      <c r="T94" t="s">
        <v>48</v>
      </c>
      <c r="U94">
        <v>8760</v>
      </c>
      <c r="AA94">
        <f>(I94-G94)/G94</f>
        <v>-0.45295752359418157</v>
      </c>
      <c r="AB94">
        <f>(H94-G94)/G94</f>
        <v>-0.45397009738673383</v>
      </c>
    </row>
    <row r="95" spans="1:28" x14ac:dyDescent="0.3">
      <c r="A95" t="s">
        <v>3</v>
      </c>
      <c r="B95" t="s">
        <v>89</v>
      </c>
      <c r="C95" t="s">
        <v>47</v>
      </c>
      <c r="D95">
        <v>1446.2088015009726</v>
      </c>
      <c r="E95">
        <v>1446.21</v>
      </c>
      <c r="F95">
        <v>1446.21</v>
      </c>
      <c r="G95">
        <v>3470600.2363749999</v>
      </c>
      <c r="H95">
        <v>1832419.9399999962</v>
      </c>
      <c r="I95">
        <v>1830433.400000002</v>
      </c>
      <c r="J95">
        <v>-1640166.8363749979</v>
      </c>
      <c r="K95">
        <v>-1638180.2963750036</v>
      </c>
      <c r="L95" t="s">
        <v>48</v>
      </c>
      <c r="M95">
        <v>8760</v>
      </c>
      <c r="N95">
        <v>2383</v>
      </c>
      <c r="O95" t="s">
        <v>49</v>
      </c>
      <c r="P95" t="s">
        <v>50</v>
      </c>
      <c r="Q95" t="s">
        <v>51</v>
      </c>
      <c r="R95" t="s">
        <v>51</v>
      </c>
      <c r="T95" t="s">
        <v>48</v>
      </c>
      <c r="U95">
        <v>8760</v>
      </c>
      <c r="AA95">
        <f>(I95-G95)/G95</f>
        <v>-0.47258881019616722</v>
      </c>
      <c r="AB95">
        <f>(H95-G95)/G95</f>
        <v>-0.47201641929410554</v>
      </c>
    </row>
    <row r="96" spans="1:28" x14ac:dyDescent="0.3">
      <c r="A96" t="s">
        <v>3</v>
      </c>
      <c r="B96" t="s">
        <v>141</v>
      </c>
      <c r="C96" t="s">
        <v>47</v>
      </c>
      <c r="D96">
        <v>1416.3996547676618</v>
      </c>
      <c r="E96">
        <v>1416.4</v>
      </c>
      <c r="F96">
        <v>1416.4</v>
      </c>
      <c r="G96">
        <v>3613509.9726875001</v>
      </c>
      <c r="H96">
        <v>1865788.2200000021</v>
      </c>
      <c r="I96">
        <v>1866910.6500000011</v>
      </c>
      <c r="J96">
        <v>-1746599.322687499</v>
      </c>
      <c r="K96">
        <v>-1747721.752687498</v>
      </c>
      <c r="L96" t="s">
        <v>48</v>
      </c>
      <c r="M96">
        <v>8760</v>
      </c>
      <c r="N96">
        <v>2336</v>
      </c>
      <c r="O96" t="s">
        <v>49</v>
      </c>
      <c r="P96" t="s">
        <v>50</v>
      </c>
      <c r="Q96" t="s">
        <v>51</v>
      </c>
      <c r="R96" t="s">
        <v>51</v>
      </c>
      <c r="T96" t="s">
        <v>48</v>
      </c>
      <c r="U96">
        <v>8760</v>
      </c>
      <c r="AA96">
        <f>(I96-G96)/G96</f>
        <v>-0.48335256741757071</v>
      </c>
      <c r="AB96">
        <f>(H96-G96)/G96</f>
        <v>-0.4836631878416135</v>
      </c>
    </row>
    <row r="97" spans="1:28" x14ac:dyDescent="0.3">
      <c r="A97" t="s">
        <v>3</v>
      </c>
      <c r="B97" t="s">
        <v>143</v>
      </c>
      <c r="C97" t="s">
        <v>47</v>
      </c>
      <c r="D97">
        <v>1494.5023477378677</v>
      </c>
      <c r="E97">
        <v>1494.5</v>
      </c>
      <c r="F97">
        <v>1494.5</v>
      </c>
      <c r="G97">
        <v>3656724.5230625002</v>
      </c>
      <c r="H97">
        <v>1801288.6399999985</v>
      </c>
      <c r="I97">
        <v>1801566.7300000039</v>
      </c>
      <c r="J97">
        <v>-1855157.7930624962</v>
      </c>
      <c r="K97">
        <v>-1855435.8830625017</v>
      </c>
      <c r="L97" t="s">
        <v>48</v>
      </c>
      <c r="M97">
        <v>8760</v>
      </c>
      <c r="N97">
        <v>2462</v>
      </c>
      <c r="O97" t="s">
        <v>49</v>
      </c>
      <c r="P97" t="s">
        <v>50</v>
      </c>
      <c r="Q97" t="s">
        <v>51</v>
      </c>
      <c r="R97" t="s">
        <v>51</v>
      </c>
      <c r="T97" t="s">
        <v>48</v>
      </c>
      <c r="U97">
        <v>8760</v>
      </c>
      <c r="AA97">
        <f>(I97-G97)/G97</f>
        <v>-0.50732774136040326</v>
      </c>
      <c r="AB97">
        <f>(H97-G97)/G97</f>
        <v>-0.50740379029388227</v>
      </c>
    </row>
    <row r="98" spans="1:28" x14ac:dyDescent="0.3">
      <c r="A98" t="s">
        <v>3</v>
      </c>
      <c r="B98" t="s">
        <v>125</v>
      </c>
      <c r="C98" t="s">
        <v>47</v>
      </c>
      <c r="D98">
        <v>600.2749023865714</v>
      </c>
      <c r="E98">
        <v>314.64999999999998</v>
      </c>
      <c r="F98">
        <v>600.28</v>
      </c>
      <c r="G98">
        <v>1024528.9321875001</v>
      </c>
      <c r="H98">
        <v>458304.34999999945</v>
      </c>
      <c r="I98">
        <v>963025.20000000275</v>
      </c>
      <c r="J98">
        <v>-61503.732187497313</v>
      </c>
      <c r="K98">
        <v>-566224.58218750055</v>
      </c>
      <c r="L98" t="s">
        <v>48</v>
      </c>
      <c r="M98">
        <v>8760</v>
      </c>
      <c r="N98">
        <v>989</v>
      </c>
      <c r="O98" t="s">
        <v>49</v>
      </c>
      <c r="P98" t="s">
        <v>50</v>
      </c>
      <c r="Q98" t="s">
        <v>51</v>
      </c>
      <c r="R98" t="s">
        <v>51</v>
      </c>
      <c r="T98" t="s">
        <v>48</v>
      </c>
      <c r="U98">
        <v>8760</v>
      </c>
      <c r="V98">
        <v>1</v>
      </c>
      <c r="W98">
        <v>0.87022960186004639</v>
      </c>
      <c r="X98">
        <v>0.87022960186004639</v>
      </c>
      <c r="Y98">
        <v>0.87022960186004639</v>
      </c>
      <c r="Z98">
        <v>0.87022960186004639</v>
      </c>
      <c r="AA98">
        <f>(I98-G98)/G98</f>
        <v>-6.0031230212483112E-2</v>
      </c>
      <c r="AB98">
        <f>(H98-G98)/G98</f>
        <v>-0.55266822087546008</v>
      </c>
    </row>
    <row r="99" spans="1:28" x14ac:dyDescent="0.3">
      <c r="A99" t="s">
        <v>3</v>
      </c>
      <c r="B99" t="s">
        <v>57</v>
      </c>
      <c r="C99" t="s">
        <v>47</v>
      </c>
      <c r="D99">
        <v>2446.3915024270837</v>
      </c>
      <c r="E99">
        <v>0</v>
      </c>
      <c r="F99">
        <v>0</v>
      </c>
      <c r="G99">
        <v>3942418.819265625</v>
      </c>
      <c r="H99">
        <v>0</v>
      </c>
      <c r="I99">
        <v>0</v>
      </c>
      <c r="J99">
        <v>-3942418.819265625</v>
      </c>
      <c r="K99">
        <v>-3942418.819265625</v>
      </c>
      <c r="L99" t="s">
        <v>48</v>
      </c>
      <c r="M99">
        <v>8760</v>
      </c>
      <c r="N99">
        <v>4033</v>
      </c>
      <c r="O99" t="s">
        <v>49</v>
      </c>
      <c r="P99" t="s">
        <v>50</v>
      </c>
      <c r="Q99" t="s">
        <v>51</v>
      </c>
      <c r="R99" t="s">
        <v>51</v>
      </c>
      <c r="T99" t="s">
        <v>48</v>
      </c>
      <c r="U99">
        <v>8760</v>
      </c>
      <c r="AA99">
        <f>(I99-G99)/G99</f>
        <v>-1</v>
      </c>
      <c r="AB99">
        <f>(H99-G99)/G99</f>
        <v>-1</v>
      </c>
    </row>
  </sheetData>
  <autoFilter ref="A1:AB99" xr:uid="{00000000-0001-0000-0100-000000000000}">
    <sortState xmlns:xlrd2="http://schemas.microsoft.com/office/spreadsheetml/2017/richdata2" ref="A2:AB99">
      <sortCondition descending="1" ref="AB1:AB9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4.4" x14ac:dyDescent="0.3"/>
  <sheetData>
    <row r="1" spans="1:26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21</v>
      </c>
      <c r="C1" t="s">
        <v>24</v>
      </c>
      <c r="D1" t="s">
        <v>27</v>
      </c>
      <c r="E1" t="s">
        <v>25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3</v>
      </c>
      <c r="B2" t="s">
        <v>149</v>
      </c>
      <c r="C2">
        <v>163.58000000000001</v>
      </c>
      <c r="D2">
        <v>286906.35000000184</v>
      </c>
      <c r="E2">
        <v>160.04</v>
      </c>
      <c r="F2">
        <v>258067.22000000003</v>
      </c>
      <c r="I2" t="s">
        <v>48</v>
      </c>
      <c r="J2">
        <v>8760</v>
      </c>
      <c r="K2" t="s">
        <v>48</v>
      </c>
      <c r="L2">
        <v>8760</v>
      </c>
      <c r="M2">
        <v>1</v>
      </c>
      <c r="N2">
        <v>0.90668922662734985</v>
      </c>
      <c r="O2">
        <v>0.90668922662734996</v>
      </c>
      <c r="P2">
        <v>0.90668922662734985</v>
      </c>
      <c r="Q2">
        <v>0.90668922662734985</v>
      </c>
    </row>
    <row r="3" spans="1:17" x14ac:dyDescent="0.3">
      <c r="A3" t="s">
        <v>3</v>
      </c>
      <c r="B3" t="s">
        <v>150</v>
      </c>
      <c r="C3">
        <v>1157.95</v>
      </c>
      <c r="D3">
        <v>1864043.9099999985</v>
      </c>
      <c r="E3">
        <v>1157.95</v>
      </c>
      <c r="F3">
        <v>1861095.7499999991</v>
      </c>
      <c r="I3" t="s">
        <v>48</v>
      </c>
      <c r="J3">
        <v>8760</v>
      </c>
      <c r="K3" t="s">
        <v>48</v>
      </c>
      <c r="L3">
        <v>8760</v>
      </c>
    </row>
    <row r="4" spans="1:17" x14ac:dyDescent="0.3">
      <c r="A4" t="s">
        <v>3</v>
      </c>
      <c r="B4" t="s">
        <v>151</v>
      </c>
      <c r="C4">
        <v>1174.44</v>
      </c>
      <c r="D4">
        <v>1900601.0999999964</v>
      </c>
      <c r="E4">
        <v>1174.44</v>
      </c>
      <c r="F4">
        <v>1901016.1799999988</v>
      </c>
      <c r="I4" t="s">
        <v>48</v>
      </c>
      <c r="J4">
        <v>8760</v>
      </c>
      <c r="K4" t="s">
        <v>48</v>
      </c>
      <c r="L4">
        <v>8760</v>
      </c>
    </row>
    <row r="5" spans="1:17" x14ac:dyDescent="0.3">
      <c r="A5" t="s">
        <v>3</v>
      </c>
      <c r="B5" t="s">
        <v>152</v>
      </c>
      <c r="C5">
        <v>3941.56</v>
      </c>
      <c r="D5">
        <v>4952716.7199999914</v>
      </c>
      <c r="E5">
        <v>3941.56</v>
      </c>
      <c r="F5">
        <v>4955288.860000005</v>
      </c>
      <c r="I5" t="s">
        <v>48</v>
      </c>
      <c r="J5">
        <v>8760</v>
      </c>
      <c r="K5" t="s">
        <v>48</v>
      </c>
      <c r="L5">
        <v>8760</v>
      </c>
    </row>
    <row r="6" spans="1:17" x14ac:dyDescent="0.3">
      <c r="A6" t="s">
        <v>3</v>
      </c>
      <c r="B6" t="s">
        <v>153</v>
      </c>
      <c r="C6">
        <v>24.64</v>
      </c>
      <c r="D6">
        <v>37323.940000000119</v>
      </c>
      <c r="E6">
        <v>24.64</v>
      </c>
      <c r="F6">
        <v>37604.610000000132</v>
      </c>
      <c r="I6" t="s">
        <v>48</v>
      </c>
      <c r="J6">
        <v>8760</v>
      </c>
      <c r="K6" t="s">
        <v>48</v>
      </c>
      <c r="L6">
        <v>8760</v>
      </c>
    </row>
    <row r="7" spans="1:17" x14ac:dyDescent="0.3">
      <c r="A7" t="s">
        <v>3</v>
      </c>
      <c r="B7" t="s">
        <v>154</v>
      </c>
      <c r="C7">
        <v>1055.43</v>
      </c>
      <c r="D7">
        <v>1707734.2800000026</v>
      </c>
      <c r="E7">
        <v>1055.43</v>
      </c>
      <c r="F7">
        <v>1707203.7800000038</v>
      </c>
      <c r="I7" t="s">
        <v>48</v>
      </c>
      <c r="J7">
        <v>8760</v>
      </c>
      <c r="K7" t="s">
        <v>48</v>
      </c>
      <c r="L7">
        <v>8760</v>
      </c>
    </row>
    <row r="8" spans="1:17" x14ac:dyDescent="0.3">
      <c r="A8" t="s">
        <v>3</v>
      </c>
      <c r="B8" t="s">
        <v>155</v>
      </c>
      <c r="C8">
        <v>17.62</v>
      </c>
      <c r="D8">
        <v>27161.749999999916</v>
      </c>
      <c r="E8">
        <v>17.62</v>
      </c>
      <c r="F8">
        <v>27203.120000000003</v>
      </c>
      <c r="I8" t="s">
        <v>48</v>
      </c>
      <c r="J8">
        <v>8760</v>
      </c>
      <c r="K8" t="s">
        <v>48</v>
      </c>
      <c r="L8">
        <v>8760</v>
      </c>
    </row>
    <row r="9" spans="1:17" x14ac:dyDescent="0.3">
      <c r="A9" t="s">
        <v>3</v>
      </c>
      <c r="B9" t="s">
        <v>156</v>
      </c>
      <c r="C9">
        <v>749.29</v>
      </c>
      <c r="D9">
        <v>1212753.9300000023</v>
      </c>
      <c r="E9">
        <v>749.29</v>
      </c>
      <c r="F9">
        <v>1211885.7199999993</v>
      </c>
      <c r="I9" t="s">
        <v>48</v>
      </c>
      <c r="J9">
        <v>8760</v>
      </c>
      <c r="K9" t="s">
        <v>48</v>
      </c>
      <c r="L9">
        <v>8760</v>
      </c>
    </row>
    <row r="10" spans="1:17" x14ac:dyDescent="0.3">
      <c r="A10" t="s">
        <v>3</v>
      </c>
      <c r="B10" t="s">
        <v>157</v>
      </c>
      <c r="C10">
        <v>99</v>
      </c>
      <c r="D10">
        <v>160320.16000000024</v>
      </c>
      <c r="E10">
        <v>99</v>
      </c>
      <c r="F10">
        <v>160436.23000000013</v>
      </c>
      <c r="I10" t="s">
        <v>48</v>
      </c>
      <c r="J10">
        <v>8760</v>
      </c>
      <c r="K10" t="s">
        <v>48</v>
      </c>
      <c r="L10">
        <v>8760</v>
      </c>
    </row>
    <row r="11" spans="1:17" x14ac:dyDescent="0.3">
      <c r="A11" t="s">
        <v>3</v>
      </c>
      <c r="B11" t="s">
        <v>158</v>
      </c>
      <c r="C11">
        <v>3080.04</v>
      </c>
      <c r="D11">
        <v>4983174.7600000165</v>
      </c>
      <c r="E11">
        <v>3080.04</v>
      </c>
      <c r="F11">
        <v>4985101.8200000273</v>
      </c>
      <c r="I11" t="s">
        <v>48</v>
      </c>
      <c r="J11">
        <v>8760</v>
      </c>
      <c r="K11" t="s">
        <v>48</v>
      </c>
      <c r="L11">
        <v>8760</v>
      </c>
    </row>
    <row r="12" spans="1:17" x14ac:dyDescent="0.3">
      <c r="A12" t="s">
        <v>3</v>
      </c>
      <c r="B12" t="s">
        <v>159</v>
      </c>
      <c r="C12">
        <v>101.39</v>
      </c>
      <c r="D12">
        <v>146387.34000000017</v>
      </c>
      <c r="E12">
        <v>101.39</v>
      </c>
      <c r="F12">
        <v>153662.76999999984</v>
      </c>
      <c r="I12" t="s">
        <v>48</v>
      </c>
      <c r="J12">
        <v>8760</v>
      </c>
      <c r="K12" t="s">
        <v>48</v>
      </c>
      <c r="L12">
        <v>8760</v>
      </c>
    </row>
    <row r="13" spans="1:17" x14ac:dyDescent="0.3">
      <c r="A13" t="s">
        <v>3</v>
      </c>
      <c r="B13" t="s">
        <v>160</v>
      </c>
      <c r="C13">
        <v>137.58000000000001</v>
      </c>
      <c r="D13">
        <v>197030.25000000023</v>
      </c>
      <c r="E13">
        <v>131.15</v>
      </c>
      <c r="F13">
        <v>210784.81</v>
      </c>
      <c r="I13" t="s">
        <v>48</v>
      </c>
      <c r="J13">
        <v>8760</v>
      </c>
      <c r="K13" t="s">
        <v>48</v>
      </c>
      <c r="L13">
        <v>8760</v>
      </c>
      <c r="M13">
        <v>2</v>
      </c>
      <c r="N13">
        <v>0.92638024687767029</v>
      </c>
      <c r="O13">
        <v>0.92641972964794728</v>
      </c>
      <c r="P13">
        <v>0.90452671051025391</v>
      </c>
      <c r="Q13">
        <v>0.94823378324508667</v>
      </c>
    </row>
    <row r="14" spans="1:17" x14ac:dyDescent="0.3">
      <c r="A14" t="s">
        <v>3</v>
      </c>
      <c r="B14" t="s">
        <v>161</v>
      </c>
      <c r="C14">
        <v>139.80000000000001</v>
      </c>
      <c r="D14">
        <v>204766.27000000022</v>
      </c>
      <c r="E14">
        <v>114.84</v>
      </c>
      <c r="F14">
        <v>178028.19999999978</v>
      </c>
      <c r="I14" t="s">
        <v>48</v>
      </c>
      <c r="J14">
        <v>8760</v>
      </c>
      <c r="K14" t="s">
        <v>48</v>
      </c>
      <c r="L14">
        <v>8760</v>
      </c>
      <c r="M14">
        <v>1</v>
      </c>
      <c r="N14">
        <v>0.96838223934173584</v>
      </c>
      <c r="O14">
        <v>0.96838223934173573</v>
      </c>
      <c r="P14">
        <v>0.96838223934173584</v>
      </c>
      <c r="Q14">
        <v>0.96838223934173584</v>
      </c>
    </row>
    <row r="15" spans="1:17" x14ac:dyDescent="0.3">
      <c r="A15" t="s">
        <v>3</v>
      </c>
      <c r="B15" t="s">
        <v>162</v>
      </c>
      <c r="C15">
        <v>270.47000000000003</v>
      </c>
      <c r="D15">
        <v>437493.34999999928</v>
      </c>
      <c r="E15">
        <v>270.47000000000003</v>
      </c>
      <c r="F15">
        <v>436837.90999999869</v>
      </c>
      <c r="I15" t="s">
        <v>48</v>
      </c>
      <c r="J15">
        <v>8760</v>
      </c>
      <c r="K15" t="s">
        <v>48</v>
      </c>
      <c r="L15">
        <v>8760</v>
      </c>
    </row>
    <row r="16" spans="1:17" x14ac:dyDescent="0.3">
      <c r="A16" t="s">
        <v>3</v>
      </c>
      <c r="B16" t="s">
        <v>163</v>
      </c>
      <c r="C16">
        <v>434.92</v>
      </c>
      <c r="D16">
        <v>585637.3199999996</v>
      </c>
      <c r="E16">
        <v>421.73</v>
      </c>
      <c r="F16">
        <v>586363.60999999917</v>
      </c>
      <c r="I16" t="s">
        <v>48</v>
      </c>
      <c r="J16">
        <v>8760</v>
      </c>
      <c r="K16" t="s">
        <v>48</v>
      </c>
      <c r="L16">
        <v>8760</v>
      </c>
      <c r="M16">
        <v>2</v>
      </c>
      <c r="N16">
        <v>0.99214482307434082</v>
      </c>
      <c r="O16">
        <v>0.9921450192329152</v>
      </c>
      <c r="P16">
        <v>0.99110221862792969</v>
      </c>
      <c r="Q16">
        <v>0.99318742752075195</v>
      </c>
    </row>
    <row r="17" spans="1:17" x14ac:dyDescent="0.3">
      <c r="A17" t="s">
        <v>3</v>
      </c>
      <c r="B17" t="s">
        <v>164</v>
      </c>
      <c r="C17">
        <v>421.03</v>
      </c>
      <c r="D17">
        <v>681522.32000000158</v>
      </c>
      <c r="E17">
        <v>421.03</v>
      </c>
      <c r="F17">
        <v>681373.10000000021</v>
      </c>
      <c r="I17" t="s">
        <v>48</v>
      </c>
      <c r="J17">
        <v>8760</v>
      </c>
      <c r="K17" t="s">
        <v>48</v>
      </c>
      <c r="L17">
        <v>8760</v>
      </c>
    </row>
    <row r="18" spans="1:17" x14ac:dyDescent="0.3">
      <c r="A18" t="s">
        <v>3</v>
      </c>
      <c r="B18" t="s">
        <v>165</v>
      </c>
      <c r="C18">
        <v>833.43</v>
      </c>
      <c r="D18">
        <v>1340510.6599999983</v>
      </c>
      <c r="E18">
        <v>833.43</v>
      </c>
      <c r="F18">
        <v>1341554.389999995</v>
      </c>
      <c r="I18" t="s">
        <v>48</v>
      </c>
      <c r="J18">
        <v>8760</v>
      </c>
      <c r="K18" t="s">
        <v>48</v>
      </c>
      <c r="L18">
        <v>8760</v>
      </c>
    </row>
    <row r="19" spans="1:17" x14ac:dyDescent="0.3">
      <c r="A19" t="s">
        <v>3</v>
      </c>
      <c r="B19" t="s">
        <v>166</v>
      </c>
      <c r="C19">
        <v>562.67999999999995</v>
      </c>
      <c r="D19">
        <v>824196.40999999724</v>
      </c>
      <c r="E19">
        <v>547.47</v>
      </c>
      <c r="F19">
        <v>880350.21000000287</v>
      </c>
      <c r="I19" t="s">
        <v>48</v>
      </c>
      <c r="J19">
        <v>8760</v>
      </c>
      <c r="K19" t="s">
        <v>48</v>
      </c>
      <c r="L19">
        <v>8760</v>
      </c>
      <c r="M19">
        <v>2</v>
      </c>
      <c r="N19">
        <v>0.48948980867862701</v>
      </c>
      <c r="O19">
        <v>0.48840536518126471</v>
      </c>
      <c r="P19">
        <v>0.44848611950874329</v>
      </c>
      <c r="Q19">
        <v>0.53049349784851074</v>
      </c>
    </row>
    <row r="20" spans="1:17" x14ac:dyDescent="0.3">
      <c r="A20" t="s">
        <v>3</v>
      </c>
      <c r="B20" t="s">
        <v>167</v>
      </c>
      <c r="C20">
        <v>377.7</v>
      </c>
      <c r="D20">
        <v>434587.48000000097</v>
      </c>
      <c r="E20">
        <v>377.7</v>
      </c>
      <c r="F20">
        <v>586532.85</v>
      </c>
      <c r="I20" t="s">
        <v>48</v>
      </c>
      <c r="J20">
        <v>8760</v>
      </c>
      <c r="K20" t="s">
        <v>48</v>
      </c>
      <c r="L20">
        <v>8760</v>
      </c>
    </row>
    <row r="21" spans="1:17" x14ac:dyDescent="0.3">
      <c r="A21" t="s">
        <v>3</v>
      </c>
      <c r="B21" t="s">
        <v>168</v>
      </c>
      <c r="C21">
        <v>939.44</v>
      </c>
      <c r="D21">
        <v>1497046.8400000003</v>
      </c>
      <c r="E21">
        <v>626.44000000000005</v>
      </c>
      <c r="F21">
        <v>1011248.7999999999</v>
      </c>
      <c r="I21" t="s">
        <v>48</v>
      </c>
      <c r="J21">
        <v>8760</v>
      </c>
      <c r="K21" t="s">
        <v>48</v>
      </c>
      <c r="L21">
        <v>8760</v>
      </c>
      <c r="M21">
        <v>2</v>
      </c>
      <c r="N21">
        <v>0.71901267766952515</v>
      </c>
      <c r="O21">
        <v>0.7191197932652621</v>
      </c>
      <c r="P21">
        <v>0.63712626695632935</v>
      </c>
      <c r="Q21">
        <v>0.80089908838272095</v>
      </c>
    </row>
    <row r="22" spans="1:17" x14ac:dyDescent="0.3">
      <c r="A22" t="s">
        <v>3</v>
      </c>
      <c r="B22" t="s">
        <v>169</v>
      </c>
      <c r="C22">
        <v>586.08000000000004</v>
      </c>
      <c r="D22">
        <v>920634.94999999588</v>
      </c>
      <c r="E22">
        <v>586.08000000000004</v>
      </c>
      <c r="F22">
        <v>948440.38999999955</v>
      </c>
      <c r="I22" t="s">
        <v>48</v>
      </c>
      <c r="J22">
        <v>8760</v>
      </c>
      <c r="K22" t="s">
        <v>48</v>
      </c>
      <c r="L22">
        <v>8760</v>
      </c>
    </row>
    <row r="23" spans="1:17" x14ac:dyDescent="0.3">
      <c r="A23" t="s">
        <v>3</v>
      </c>
      <c r="B23" t="s">
        <v>170</v>
      </c>
      <c r="C23">
        <v>351.9</v>
      </c>
      <c r="D23">
        <v>458365.23000000039</v>
      </c>
      <c r="E23">
        <v>351.9</v>
      </c>
      <c r="F23">
        <v>476993.30999999959</v>
      </c>
      <c r="I23" t="s">
        <v>48</v>
      </c>
      <c r="J23">
        <v>8760</v>
      </c>
      <c r="K23" t="s">
        <v>48</v>
      </c>
      <c r="L23">
        <v>8760</v>
      </c>
    </row>
    <row r="24" spans="1:17" x14ac:dyDescent="0.3">
      <c r="A24" t="s">
        <v>3</v>
      </c>
      <c r="B24" t="s">
        <v>171</v>
      </c>
      <c r="C24">
        <v>4892.4399999999996</v>
      </c>
      <c r="D24">
        <v>7917330.2099999711</v>
      </c>
      <c r="E24">
        <v>4892.4399999999996</v>
      </c>
      <c r="F24">
        <v>7916499.0999999875</v>
      </c>
      <c r="I24" t="s">
        <v>48</v>
      </c>
      <c r="J24">
        <v>8760</v>
      </c>
      <c r="K24" t="s">
        <v>48</v>
      </c>
      <c r="L24">
        <v>8760</v>
      </c>
    </row>
    <row r="25" spans="1:17" x14ac:dyDescent="0.3">
      <c r="A25" t="s">
        <v>3</v>
      </c>
      <c r="B25" t="s">
        <v>172</v>
      </c>
      <c r="C25">
        <v>2027.64</v>
      </c>
      <c r="D25">
        <v>3162956.2400000063</v>
      </c>
      <c r="E25">
        <v>2027.64</v>
      </c>
      <c r="F25">
        <v>3161398.5699999989</v>
      </c>
      <c r="I25" t="s">
        <v>48</v>
      </c>
      <c r="J25">
        <v>8760</v>
      </c>
      <c r="K25" t="s">
        <v>48</v>
      </c>
      <c r="L25">
        <v>8760</v>
      </c>
    </row>
    <row r="26" spans="1:17" x14ac:dyDescent="0.3">
      <c r="A26" t="s">
        <v>3</v>
      </c>
      <c r="B26" t="s">
        <v>173</v>
      </c>
      <c r="C26">
        <v>195.68</v>
      </c>
      <c r="D26">
        <v>316782.06999999989</v>
      </c>
      <c r="E26">
        <v>195.68</v>
      </c>
      <c r="F26">
        <v>316896.70000000118</v>
      </c>
      <c r="I26" t="s">
        <v>48</v>
      </c>
      <c r="J26">
        <v>8760</v>
      </c>
      <c r="K26" t="s">
        <v>48</v>
      </c>
      <c r="L26">
        <v>8760</v>
      </c>
    </row>
    <row r="27" spans="1:17" x14ac:dyDescent="0.3">
      <c r="A27" t="s">
        <v>3</v>
      </c>
      <c r="B27" t="s">
        <v>174</v>
      </c>
      <c r="C27">
        <v>218.8</v>
      </c>
      <c r="D27">
        <v>353919.15999999945</v>
      </c>
      <c r="E27">
        <v>218.8</v>
      </c>
      <c r="F27">
        <v>353955.19999999844</v>
      </c>
      <c r="I27" t="s">
        <v>48</v>
      </c>
      <c r="J27">
        <v>8760</v>
      </c>
      <c r="K27" t="s">
        <v>48</v>
      </c>
      <c r="L27">
        <v>8760</v>
      </c>
    </row>
    <row r="28" spans="1:17" x14ac:dyDescent="0.3">
      <c r="A28" t="s">
        <v>3</v>
      </c>
      <c r="B28" t="s">
        <v>175</v>
      </c>
      <c r="C28">
        <v>1657.62</v>
      </c>
      <c r="D28">
        <v>2623419.349999988</v>
      </c>
      <c r="E28">
        <v>1657.62</v>
      </c>
      <c r="F28">
        <v>2623764.1999999988</v>
      </c>
      <c r="I28" t="s">
        <v>48</v>
      </c>
      <c r="J28">
        <v>8760</v>
      </c>
      <c r="K28" t="s">
        <v>48</v>
      </c>
      <c r="L28">
        <v>8760</v>
      </c>
    </row>
    <row r="29" spans="1:17" x14ac:dyDescent="0.3">
      <c r="A29" t="s">
        <v>3</v>
      </c>
      <c r="B29" t="s">
        <v>176</v>
      </c>
      <c r="C29">
        <v>807.65</v>
      </c>
      <c r="D29">
        <v>776104.96999999753</v>
      </c>
      <c r="E29">
        <v>807.65</v>
      </c>
      <c r="F29">
        <v>692582.70000000042</v>
      </c>
      <c r="I29" t="s">
        <v>48</v>
      </c>
      <c r="J29">
        <v>8760</v>
      </c>
      <c r="K29" t="s">
        <v>48</v>
      </c>
      <c r="L29">
        <v>8760</v>
      </c>
    </row>
    <row r="30" spans="1:17" x14ac:dyDescent="0.3">
      <c r="A30" t="s">
        <v>3</v>
      </c>
      <c r="B30" t="s">
        <v>177</v>
      </c>
      <c r="C30">
        <v>136.78</v>
      </c>
      <c r="D30">
        <v>98689.549999999843</v>
      </c>
      <c r="E30">
        <v>136.78</v>
      </c>
      <c r="F30">
        <v>98240.130000000019</v>
      </c>
      <c r="I30" t="s">
        <v>48</v>
      </c>
      <c r="J30">
        <v>8760</v>
      </c>
      <c r="K30" t="s">
        <v>48</v>
      </c>
      <c r="L30">
        <v>8760</v>
      </c>
    </row>
    <row r="31" spans="1:17" x14ac:dyDescent="0.3">
      <c r="A31" t="s">
        <v>3</v>
      </c>
      <c r="B31" t="s">
        <v>178</v>
      </c>
      <c r="C31">
        <v>150.81</v>
      </c>
      <c r="D31">
        <v>164547.17999999988</v>
      </c>
      <c r="E31">
        <v>150.81</v>
      </c>
      <c r="F31">
        <v>164006.48999999987</v>
      </c>
      <c r="I31" t="s">
        <v>48</v>
      </c>
      <c r="J31">
        <v>8760</v>
      </c>
      <c r="K31" t="s">
        <v>48</v>
      </c>
      <c r="L31">
        <v>8760</v>
      </c>
    </row>
    <row r="32" spans="1:17" x14ac:dyDescent="0.3">
      <c r="A32" t="s">
        <v>3</v>
      </c>
      <c r="B32" t="s">
        <v>179</v>
      </c>
      <c r="C32">
        <v>248.69</v>
      </c>
      <c r="D32">
        <v>263998.52999999939</v>
      </c>
      <c r="E32">
        <v>248.69</v>
      </c>
      <c r="F32">
        <v>265476.95999999996</v>
      </c>
      <c r="I32" t="s">
        <v>48</v>
      </c>
      <c r="J32">
        <v>8760</v>
      </c>
      <c r="K32" t="s">
        <v>48</v>
      </c>
      <c r="L32">
        <v>8760</v>
      </c>
    </row>
    <row r="33" spans="1:12" x14ac:dyDescent="0.3">
      <c r="A33" t="s">
        <v>3</v>
      </c>
      <c r="B33" t="s">
        <v>180</v>
      </c>
      <c r="C33">
        <v>188.44</v>
      </c>
      <c r="D33">
        <v>191860.30000000042</v>
      </c>
      <c r="E33">
        <v>188.44</v>
      </c>
      <c r="F33">
        <v>192401.62000000002</v>
      </c>
      <c r="I33" t="s">
        <v>48</v>
      </c>
      <c r="J33">
        <v>8760</v>
      </c>
      <c r="K33" t="s">
        <v>48</v>
      </c>
      <c r="L33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missing_in_ucea</vt:lpstr>
      <vt:lpstr>ucea_only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2026-04-30T14:16:14Z</dcterms:modified>
</cp:coreProperties>
</file>