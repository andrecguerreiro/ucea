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Arquivo\"/>
    </mc:Choice>
  </mc:AlternateContent>
  <xr:revisionPtr revIDLastSave="0" documentId="13_ncr:1_{380B808F-025E-40A7-8B8F-0AE33AEA0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omparison" sheetId="2" r:id="rId2"/>
    <sheet name="missing_in_ucea" sheetId="3" r:id="rId3"/>
    <sheet name="ucea_on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6" i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B2" i="2"/>
  <c r="AA2" i="2"/>
</calcChain>
</file>

<file path=xl/sharedStrings.xml><?xml version="1.0" encoding="utf-8"?>
<sst xmlns="http://schemas.openxmlformats.org/spreadsheetml/2006/main" count="855" uniqueCount="154">
  <si>
    <t>metric</t>
  </si>
  <si>
    <t>value</t>
  </si>
  <si>
    <t>area_id</t>
  </si>
  <si>
    <t>Alta_Lisboa</t>
  </si>
  <si>
    <t>validation_csv_path</t>
  </si>
  <si>
    <t>C:\Documents\Doutoramento\CEA Projects\ucea\tools\validation_outputs\Alta_Lisboa_residential_radiation.csv</t>
  </si>
  <si>
    <t>ucea_summary_csv_path</t>
  </si>
  <si>
    <t>C:\Users\Andre\cea-scenarios\Validation\Alta Lisboa\outputs\data\solar-radiation\building_rooftop_radiation_annual_kWh.csv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</si>
  <si>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</si>
  <si>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</si>
  <si>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</si>
  <si>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</si>
  <si>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</si>
  <si>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</si>
  <si>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</si>
  <si>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total_validation_area_m2</t>
  </si>
  <si>
    <t>total_ucea_roofs_top_m2_matched</t>
  </si>
  <si>
    <t>total_workflow0_roofs_top_m2_matched</t>
  </si>
  <si>
    <t>total_validation_radiation_kwh_year</t>
  </si>
  <si>
    <t>total_ucea_radiation_kwh_year_matched</t>
  </si>
  <si>
    <t>total_workflow0_radiation_kwh_year_matched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</si>
  <si>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</si>
  <si>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</si>
  <si>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</si>
  <si>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</si>
  <si>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</si>
  <si>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</si>
  <si>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</si>
  <si>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</si>
  <si>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</si>
  <si>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</si>
  <si>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</si>
  <si>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</si>
  <si>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</si>
  <si>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</si>
  <si>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</si>
  <si>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</si>
  <si>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</si>
  <si>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</si>
  <si>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</si>
  <si>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</si>
  <si>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</si>
  <si>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</si>
  <si>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</si>
  <si>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</si>
  <si>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</si>
  <si>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B1001</t>
  </si>
  <si>
    <t>matched</t>
  </si>
  <si>
    <t>roofs_top_kW</t>
  </si>
  <si>
    <t>cea</t>
  </si>
  <si>
    <t>MULTI_RES</t>
  </si>
  <si>
    <t>NONE</t>
  </si>
  <si>
    <t>B1003</t>
  </si>
  <si>
    <t>B1005</t>
  </si>
  <si>
    <t>B1006</t>
  </si>
  <si>
    <t>B1015</t>
  </si>
  <si>
    <t>SINGLE_RES</t>
  </si>
  <si>
    <t>B1016</t>
  </si>
  <si>
    <t>B1017</t>
  </si>
  <si>
    <t>B1020</t>
  </si>
  <si>
    <t>B1022</t>
  </si>
  <si>
    <t>B1026</t>
  </si>
  <si>
    <t>B1031</t>
  </si>
  <si>
    <t>B1033</t>
  </si>
  <si>
    <t>B1034</t>
  </si>
  <si>
    <t>B1035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</si>
  <si>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</si>
  <si>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</si>
  <si>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</si>
  <si>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</si>
  <si>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</si>
  <si>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</si>
  <si>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</si>
  <si>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</si>
  <si>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</si>
  <si>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</si>
  <si>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</si>
  <si>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</si>
  <si>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</si>
  <si>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</si>
  <si>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</si>
  <si>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</si>
  <si>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</si>
  <si>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</si>
  <si>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</si>
  <si>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</si>
  <si>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</si>
  <si>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</si>
  <si>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</si>
  <si>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</si>
  <si>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</si>
  <si>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</si>
  <si>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</si>
  <si>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</si>
  <si>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</si>
  <si>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</si>
  <si>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</si>
  <si>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</si>
  <si>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</si>
  <si>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</si>
  <si>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</si>
  <si>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</si>
  <si>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</si>
  <si>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</si>
  <si>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</si>
  <si>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</si>
  <si>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</si>
  <si>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</si>
  <si>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</si>
  <si>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</si>
  <si>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</si>
  <si>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</si>
  <si>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</si>
  <si>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</si>
  <si>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</si>
  <si>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</si>
  <si>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B1091</t>
  </si>
  <si>
    <t>B1095</t>
  </si>
  <si>
    <t>B1097</t>
  </si>
  <si>
    <t>B1098</t>
  </si>
  <si>
    <t>B1099</t>
  </si>
  <si>
    <t>B1100</t>
  </si>
  <si>
    <t>B1101</t>
  </si>
  <si>
    <t>B1000</t>
  </si>
  <si>
    <t>B1002</t>
  </si>
  <si>
    <t>B1004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</si>
  <si>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</si>
  <si>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</si>
  <si>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</si>
  <si>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</si>
  <si>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</si>
  <si>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</si>
  <si>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</si>
  <si>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</si>
  <si>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B1018</t>
  </si>
  <si>
    <t>B1019</t>
  </si>
  <si>
    <t>B1021</t>
  </si>
  <si>
    <t>B1023</t>
  </si>
  <si>
    <t>B1024</t>
  </si>
  <si>
    <t>B1025</t>
  </si>
  <si>
    <t>B1027</t>
  </si>
  <si>
    <t>B1028</t>
  </si>
  <si>
    <t>B1029</t>
  </si>
  <si>
    <t>B1030</t>
  </si>
  <si>
    <t>B1032</t>
  </si>
  <si>
    <t>B1036</t>
  </si>
  <si>
    <t>B1058</t>
  </si>
  <si>
    <t>B1059</t>
  </si>
  <si>
    <t>B1060</t>
  </si>
  <si>
    <t>B1090</t>
  </si>
  <si>
    <t>B1092</t>
  </si>
  <si>
    <t>B1093</t>
  </si>
  <si>
    <t>B1094</t>
  </si>
  <si>
    <t>B1096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</si>
</sst>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B17" sqref="B17"/>
    </sheetView>
  </sheetViews>
  <sheetFormatPr defaultRowHeight="14.4" x14ac:dyDescent="0.3"/>
  <cols>
    <col min="1" max="1" width="40.77734375" bestFit="1" customWidth="1"/>
    <col min="2" max="2" width="108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>
        <v>71</v>
      </c>
    </row>
    <row r="6" spans="1:3" x14ac:dyDescent="0.3">
      <c r="A6" t="s">
        <v>9</v>
      </c>
      <c r="B6">
        <v>41</v>
      </c>
      <c r="C6">
        <f>B6/B5</f>
        <v>0.57746478873239437</v>
      </c>
    </row>
    <row r="7" spans="1:3" x14ac:dyDescent="0.3">
      <c r="A7" t="s">
        <v>10</v>
      </c>
      <c r="B7">
        <v>0</v>
      </c>
    </row>
    <row r="8" spans="1:3" x14ac:dyDescent="0.3">
      <c r="A8" t="s">
        <v>11</v>
      </c>
    </row>
    <row r="9" spans="1:3" x14ac:dyDescent="0.3">
      <c r="A9" t="s">
        <v>12</v>
      </c>
      <c r="B9">
        <v>71</v>
      </c>
    </row>
    <row r="10" spans="1:3" x14ac:dyDescent="0.3">
      <c r="A10" t="s">
        <v>13</v>
      </c>
      <c r="B10">
        <v>0</v>
      </c>
    </row>
    <row r="11" spans="1:3" x14ac:dyDescent="0.3">
      <c r="A11" t="s">
        <v>14</v>
      </c>
      <c r="B11">
        <v>31</v>
      </c>
    </row>
    <row r="12" spans="1:3" x14ac:dyDescent="0.3">
      <c r="A12" t="s">
        <v>15</v>
      </c>
      <c r="B12">
        <v>32049.173328398942</v>
      </c>
    </row>
    <row r="13" spans="1:3" x14ac:dyDescent="0.3">
      <c r="A13" t="s">
        <v>16</v>
      </c>
      <c r="B13">
        <v>33369.130000000012</v>
      </c>
    </row>
    <row r="14" spans="1:3" x14ac:dyDescent="0.3">
      <c r="A14" t="s">
        <v>17</v>
      </c>
      <c r="B14">
        <v>31924.679999999989</v>
      </c>
    </row>
    <row r="15" spans="1:3" x14ac:dyDescent="0.3">
      <c r="A15" t="s">
        <v>18</v>
      </c>
      <c r="B15">
        <v>69071642.184164077</v>
      </c>
    </row>
    <row r="16" spans="1:3" x14ac:dyDescent="0.3">
      <c r="A16" t="s">
        <v>19</v>
      </c>
      <c r="B16">
        <v>52289086.279999927</v>
      </c>
      <c r="C16">
        <f>(B16-B15)/B15</f>
        <v>-0.24297317065977989</v>
      </c>
    </row>
    <row r="17" spans="1:3" x14ac:dyDescent="0.3">
      <c r="A17" t="s">
        <v>20</v>
      </c>
      <c r="B17">
        <v>50157797.440000042</v>
      </c>
      <c r="C17">
        <f>(B17-B15)/B15</f>
        <v>-0.27382937694943604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2"/>
  <sheetViews>
    <sheetView topLeftCell="F1" workbookViewId="0">
      <selection activeCell="AA5" sqref="AA5"/>
    </sheetView>
  </sheetViews>
  <sheetFormatPr defaultRowHeight="14.4" x14ac:dyDescent="0.3"/>
  <sheetData>
    <row r="1" spans="1:28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29</v>
      </c>
      <c r="AB1" t="s">
        <v>30</v>
      </c>
    </row>
    <row r="2" spans="1:28" x14ac:dyDescent="0.3">
      <c r="A2" t="s">
        <v>3</v>
      </c>
      <c r="B2" t="s">
        <v>46</v>
      </c>
      <c r="C2" t="s">
        <v>47</v>
      </c>
      <c r="D2">
        <v>1694.1833177501749</v>
      </c>
      <c r="E2">
        <v>1693.19</v>
      </c>
      <c r="F2">
        <v>1693.19</v>
      </c>
      <c r="G2">
        <v>3626073.4891562499</v>
      </c>
      <c r="H2">
        <v>2738971.8100000024</v>
      </c>
      <c r="I2">
        <v>2738180.9900000053</v>
      </c>
      <c r="J2">
        <v>-887892.49915624456</v>
      </c>
      <c r="K2">
        <v>-887101.67915624753</v>
      </c>
      <c r="L2" t="s">
        <v>48</v>
      </c>
      <c r="M2">
        <v>8760</v>
      </c>
      <c r="N2">
        <v>2794</v>
      </c>
      <c r="O2" t="s">
        <v>49</v>
      </c>
      <c r="P2" t="s">
        <v>50</v>
      </c>
      <c r="Q2" t="s">
        <v>51</v>
      </c>
      <c r="R2" t="s">
        <v>51</v>
      </c>
      <c r="T2" t="s">
        <v>48</v>
      </c>
      <c r="U2">
        <v>8760</v>
      </c>
      <c r="AA2">
        <f t="shared" ref="AA2:AA65" si="0">(I2-G2)/G2</f>
        <v>-0.24486334924305356</v>
      </c>
      <c r="AB2">
        <f t="shared" ref="AB2:AB65" si="1">(H2-G2)/G2</f>
        <v>-0.24464525658653075</v>
      </c>
    </row>
    <row r="3" spans="1:28" x14ac:dyDescent="0.3">
      <c r="A3" t="s">
        <v>3</v>
      </c>
      <c r="B3" t="s">
        <v>52</v>
      </c>
      <c r="C3" t="s">
        <v>47</v>
      </c>
      <c r="D3">
        <v>316.63596337502787</v>
      </c>
      <c r="E3">
        <v>319.93</v>
      </c>
      <c r="F3">
        <v>316.60000000000002</v>
      </c>
      <c r="G3">
        <v>673715.56003125</v>
      </c>
      <c r="H3">
        <v>504094.13999999978</v>
      </c>
      <c r="I3">
        <v>479241.28999999881</v>
      </c>
      <c r="J3">
        <v>-194474.27003125119</v>
      </c>
      <c r="K3">
        <v>-169621.42003125022</v>
      </c>
      <c r="L3" t="s">
        <v>48</v>
      </c>
      <c r="M3">
        <v>8760</v>
      </c>
      <c r="N3">
        <v>522</v>
      </c>
      <c r="O3" t="s">
        <v>49</v>
      </c>
      <c r="P3" t="s">
        <v>50</v>
      </c>
      <c r="Q3" t="s">
        <v>51</v>
      </c>
      <c r="R3" t="s">
        <v>51</v>
      </c>
      <c r="T3" t="s">
        <v>48</v>
      </c>
      <c r="U3">
        <v>8760</v>
      </c>
      <c r="V3">
        <v>3</v>
      </c>
      <c r="W3">
        <v>0.69401013851165771</v>
      </c>
      <c r="X3">
        <v>0.63456508299095682</v>
      </c>
      <c r="Y3">
        <v>0.44894504547119141</v>
      </c>
      <c r="Z3">
        <v>0.93421387672424316</v>
      </c>
      <c r="AA3">
        <f t="shared" si="0"/>
        <v>-0.28865931198357742</v>
      </c>
      <c r="AB3">
        <f t="shared" si="1"/>
        <v>-0.25177007938392043</v>
      </c>
    </row>
    <row r="4" spans="1:28" x14ac:dyDescent="0.3">
      <c r="A4" t="s">
        <v>3</v>
      </c>
      <c r="B4" t="s">
        <v>53</v>
      </c>
      <c r="C4" t="s">
        <v>47</v>
      </c>
      <c r="D4">
        <v>3044.2825092244411</v>
      </c>
      <c r="E4">
        <v>3044.94</v>
      </c>
      <c r="F4">
        <v>3044.94</v>
      </c>
      <c r="G4">
        <v>6229377.702179688</v>
      </c>
      <c r="H4">
        <v>4924717.719999996</v>
      </c>
      <c r="I4">
        <v>4924874.9000000078</v>
      </c>
      <c r="J4">
        <v>-1304502.8021796802</v>
      </c>
      <c r="K4">
        <v>-1304659.982179692</v>
      </c>
      <c r="L4" t="s">
        <v>48</v>
      </c>
      <c r="M4">
        <v>8760</v>
      </c>
      <c r="N4">
        <v>5014</v>
      </c>
      <c r="O4" t="s">
        <v>49</v>
      </c>
      <c r="P4" t="s">
        <v>50</v>
      </c>
      <c r="Q4" t="s">
        <v>51</v>
      </c>
      <c r="R4" t="s">
        <v>51</v>
      </c>
      <c r="T4" t="s">
        <v>48</v>
      </c>
      <c r="U4">
        <v>8760</v>
      </c>
      <c r="AA4">
        <f t="shared" si="0"/>
        <v>-0.20941141548107264</v>
      </c>
      <c r="AB4">
        <f t="shared" si="1"/>
        <v>-0.20943664753594657</v>
      </c>
    </row>
    <row r="5" spans="1:28" x14ac:dyDescent="0.3">
      <c r="A5" t="s">
        <v>3</v>
      </c>
      <c r="B5" t="s">
        <v>54</v>
      </c>
      <c r="C5" t="s">
        <v>47</v>
      </c>
      <c r="D5">
        <v>1104.2171986477667</v>
      </c>
      <c r="E5">
        <v>1069.06</v>
      </c>
      <c r="F5">
        <v>1069.06</v>
      </c>
      <c r="G5">
        <v>1851864.0273203126</v>
      </c>
      <c r="H5">
        <v>1538797.5799999991</v>
      </c>
      <c r="I5">
        <v>1540207.670000006</v>
      </c>
      <c r="J5">
        <v>-311656.35732030659</v>
      </c>
      <c r="K5">
        <v>-313066.44732031343</v>
      </c>
      <c r="L5" t="s">
        <v>48</v>
      </c>
      <c r="M5">
        <v>8760</v>
      </c>
      <c r="N5">
        <v>1821</v>
      </c>
      <c r="O5" t="s">
        <v>49</v>
      </c>
      <c r="P5" t="s">
        <v>50</v>
      </c>
      <c r="Q5" t="s">
        <v>51</v>
      </c>
      <c r="R5" t="s">
        <v>51</v>
      </c>
      <c r="T5" t="s">
        <v>48</v>
      </c>
      <c r="U5">
        <v>8760</v>
      </c>
      <c r="AA5">
        <f t="shared" si="0"/>
        <v>-0.16829332646591774</v>
      </c>
      <c r="AB5">
        <f t="shared" si="1"/>
        <v>-0.16905477005961791</v>
      </c>
    </row>
    <row r="6" spans="1:28" x14ac:dyDescent="0.3">
      <c r="A6" t="s">
        <v>3</v>
      </c>
      <c r="B6" t="s">
        <v>55</v>
      </c>
      <c r="C6" t="s">
        <v>47</v>
      </c>
      <c r="D6">
        <v>183.52575815737313</v>
      </c>
      <c r="E6">
        <v>311.82</v>
      </c>
      <c r="F6">
        <v>185.7</v>
      </c>
      <c r="G6">
        <v>351168.43843749998</v>
      </c>
      <c r="H6">
        <v>492921.50000000023</v>
      </c>
      <c r="I6">
        <v>298758.60999999929</v>
      </c>
      <c r="J6">
        <v>-52409.828437500692</v>
      </c>
      <c r="K6">
        <v>141753.06156250025</v>
      </c>
      <c r="L6" t="s">
        <v>48</v>
      </c>
      <c r="M6">
        <v>8760</v>
      </c>
      <c r="N6">
        <v>305</v>
      </c>
      <c r="O6" t="s">
        <v>49</v>
      </c>
      <c r="P6" t="s">
        <v>56</v>
      </c>
      <c r="Q6" t="s">
        <v>51</v>
      </c>
      <c r="R6" t="s">
        <v>51</v>
      </c>
      <c r="T6" t="s">
        <v>48</v>
      </c>
      <c r="U6">
        <v>8760</v>
      </c>
      <c r="V6">
        <v>2</v>
      </c>
      <c r="W6">
        <v>0.68300491571426392</v>
      </c>
      <c r="X6">
        <v>0.68301203187930792</v>
      </c>
      <c r="Y6">
        <v>0.67750406265258789</v>
      </c>
      <c r="Z6">
        <v>0.68850576877593994</v>
      </c>
      <c r="AA6">
        <f t="shared" si="0"/>
        <v>-0.14924413102354714</v>
      </c>
      <c r="AB6">
        <f t="shared" si="1"/>
        <v>0.40366116668462815</v>
      </c>
    </row>
    <row r="7" spans="1:28" x14ac:dyDescent="0.3">
      <c r="A7" t="s">
        <v>3</v>
      </c>
      <c r="B7" t="s">
        <v>57</v>
      </c>
      <c r="C7" t="s">
        <v>47</v>
      </c>
      <c r="D7">
        <v>515.4783622463749</v>
      </c>
      <c r="E7">
        <v>515.66999999999996</v>
      </c>
      <c r="F7">
        <v>515.66999999999996</v>
      </c>
      <c r="G7">
        <v>875034.74315624998</v>
      </c>
      <c r="H7">
        <v>817084.9100000005</v>
      </c>
      <c r="I7">
        <v>818658.00000000244</v>
      </c>
      <c r="J7">
        <v>-56376.743156247539</v>
      </c>
      <c r="K7">
        <v>-57949.833156249486</v>
      </c>
      <c r="L7" t="s">
        <v>48</v>
      </c>
      <c r="M7">
        <v>8760</v>
      </c>
      <c r="N7">
        <v>848</v>
      </c>
      <c r="O7" t="s">
        <v>49</v>
      </c>
      <c r="P7" t="s">
        <v>56</v>
      </c>
      <c r="Q7" t="s">
        <v>51</v>
      </c>
      <c r="R7" t="s">
        <v>51</v>
      </c>
      <c r="T7" t="s">
        <v>48</v>
      </c>
      <c r="U7">
        <v>8760</v>
      </c>
      <c r="AA7">
        <f t="shared" si="0"/>
        <v>-6.4428005398844676E-2</v>
      </c>
      <c r="AB7">
        <f t="shared" si="1"/>
        <v>-6.6225751159576199E-2</v>
      </c>
    </row>
    <row r="8" spans="1:28" x14ac:dyDescent="0.3">
      <c r="A8" t="s">
        <v>3</v>
      </c>
      <c r="B8" t="s">
        <v>58</v>
      </c>
      <c r="C8" t="s">
        <v>47</v>
      </c>
      <c r="D8">
        <v>170.52033127970901</v>
      </c>
      <c r="E8">
        <v>174.33</v>
      </c>
      <c r="F8">
        <v>174.33</v>
      </c>
      <c r="G8">
        <v>311720.91593750002</v>
      </c>
      <c r="H8">
        <v>274540.72999999952</v>
      </c>
      <c r="I8">
        <v>274598.45000000059</v>
      </c>
      <c r="J8">
        <v>-37122.465937499423</v>
      </c>
      <c r="K8">
        <v>-37180.185937500501</v>
      </c>
      <c r="L8" t="s">
        <v>48</v>
      </c>
      <c r="M8">
        <v>8760</v>
      </c>
      <c r="N8">
        <v>280</v>
      </c>
      <c r="O8" t="s">
        <v>49</v>
      </c>
      <c r="P8" t="s">
        <v>56</v>
      </c>
      <c r="Q8" t="s">
        <v>51</v>
      </c>
      <c r="R8" t="s">
        <v>51</v>
      </c>
      <c r="T8" t="s">
        <v>48</v>
      </c>
      <c r="U8">
        <v>8760</v>
      </c>
      <c r="AA8">
        <f t="shared" si="0"/>
        <v>-0.11908878756452285</v>
      </c>
      <c r="AB8">
        <f t="shared" si="1"/>
        <v>-0.11927395319522005</v>
      </c>
    </row>
    <row r="9" spans="1:28" x14ac:dyDescent="0.3">
      <c r="A9" t="s">
        <v>3</v>
      </c>
      <c r="B9" t="s">
        <v>59</v>
      </c>
      <c r="C9" t="s">
        <v>47</v>
      </c>
      <c r="D9">
        <v>4380.109525835609</v>
      </c>
      <c r="E9">
        <v>4380.24</v>
      </c>
      <c r="F9">
        <v>4380.24</v>
      </c>
      <c r="G9">
        <v>10414303.75825</v>
      </c>
      <c r="H9">
        <v>7006832.8999999678</v>
      </c>
      <c r="I9">
        <v>7005690.2300000051</v>
      </c>
      <c r="J9">
        <v>-3408613.5282499949</v>
      </c>
      <c r="K9">
        <v>-3407470.8582500322</v>
      </c>
      <c r="L9" t="s">
        <v>48</v>
      </c>
      <c r="M9">
        <v>8760</v>
      </c>
      <c r="N9">
        <v>7223</v>
      </c>
      <c r="O9" t="s">
        <v>49</v>
      </c>
      <c r="P9" t="s">
        <v>50</v>
      </c>
      <c r="Q9" t="s">
        <v>51</v>
      </c>
      <c r="R9" t="s">
        <v>51</v>
      </c>
      <c r="T9" t="s">
        <v>48</v>
      </c>
      <c r="U9">
        <v>8760</v>
      </c>
      <c r="AA9">
        <f t="shared" si="0"/>
        <v>-0.3273011434441559</v>
      </c>
      <c r="AB9">
        <f t="shared" si="1"/>
        <v>-0.32719142223508729</v>
      </c>
    </row>
    <row r="10" spans="1:28" x14ac:dyDescent="0.3">
      <c r="A10" t="s">
        <v>3</v>
      </c>
      <c r="B10" t="s">
        <v>60</v>
      </c>
      <c r="C10" t="s">
        <v>47</v>
      </c>
      <c r="D10">
        <v>417.38712858561689</v>
      </c>
      <c r="E10">
        <v>417.39</v>
      </c>
      <c r="F10">
        <v>417.39</v>
      </c>
      <c r="G10">
        <v>1019369.598</v>
      </c>
      <c r="H10">
        <v>634126.88999999862</v>
      </c>
      <c r="I10">
        <v>633718.53999999992</v>
      </c>
      <c r="J10">
        <v>-385651.05800000008</v>
      </c>
      <c r="K10">
        <v>-385242.70800000138</v>
      </c>
      <c r="L10" t="s">
        <v>48</v>
      </c>
      <c r="M10">
        <v>8760</v>
      </c>
      <c r="N10">
        <v>683</v>
      </c>
      <c r="O10" t="s">
        <v>49</v>
      </c>
      <c r="P10" t="s">
        <v>50</v>
      </c>
      <c r="Q10" t="s">
        <v>51</v>
      </c>
      <c r="R10" t="s">
        <v>51</v>
      </c>
      <c r="T10" t="s">
        <v>48</v>
      </c>
      <c r="U10">
        <v>8760</v>
      </c>
      <c r="AA10">
        <f t="shared" si="0"/>
        <v>-0.37832309179776036</v>
      </c>
      <c r="AB10">
        <f t="shared" si="1"/>
        <v>-0.37792250107894759</v>
      </c>
    </row>
    <row r="11" spans="1:28" x14ac:dyDescent="0.3">
      <c r="A11" t="s">
        <v>3</v>
      </c>
      <c r="B11" t="s">
        <v>61</v>
      </c>
      <c r="C11" t="s">
        <v>47</v>
      </c>
      <c r="D11">
        <v>1667.5706794638463</v>
      </c>
      <c r="E11">
        <v>1610.04</v>
      </c>
      <c r="F11">
        <v>1610.04</v>
      </c>
      <c r="G11">
        <v>3340821.5243984377</v>
      </c>
      <c r="H11">
        <v>2601219.4200000083</v>
      </c>
      <c r="I11">
        <v>2599879.4199999971</v>
      </c>
      <c r="J11">
        <v>-740942.10439844057</v>
      </c>
      <c r="K11">
        <v>-739602.10439842939</v>
      </c>
      <c r="L11" t="s">
        <v>48</v>
      </c>
      <c r="M11">
        <v>8760</v>
      </c>
      <c r="N11">
        <v>2757</v>
      </c>
      <c r="O11" t="s">
        <v>49</v>
      </c>
      <c r="P11" t="s">
        <v>50</v>
      </c>
      <c r="Q11" t="s">
        <v>51</v>
      </c>
      <c r="R11" t="s">
        <v>51</v>
      </c>
      <c r="T11" t="s">
        <v>48</v>
      </c>
      <c r="U11">
        <v>8760</v>
      </c>
      <c r="AA11">
        <f t="shared" si="0"/>
        <v>-0.2217844021260183</v>
      </c>
      <c r="AB11">
        <f t="shared" si="1"/>
        <v>-0.22138330317768329</v>
      </c>
    </row>
    <row r="12" spans="1:28" x14ac:dyDescent="0.3">
      <c r="A12" t="s">
        <v>3</v>
      </c>
      <c r="B12" t="s">
        <v>62</v>
      </c>
      <c r="C12" t="s">
        <v>47</v>
      </c>
      <c r="D12">
        <v>741.41248961802842</v>
      </c>
      <c r="E12">
        <v>741.41</v>
      </c>
      <c r="F12">
        <v>741.41</v>
      </c>
      <c r="G12">
        <v>1228701.8498984375</v>
      </c>
      <c r="H12">
        <v>1199817.0000000014</v>
      </c>
      <c r="I12">
        <v>1200865.0400000012</v>
      </c>
      <c r="J12">
        <v>-27836.809898436302</v>
      </c>
      <c r="K12">
        <v>-28884.849898436107</v>
      </c>
      <c r="L12" t="s">
        <v>48</v>
      </c>
      <c r="M12">
        <v>8760</v>
      </c>
      <c r="N12">
        <v>1230</v>
      </c>
      <c r="O12" t="s">
        <v>49</v>
      </c>
      <c r="P12" t="s">
        <v>50</v>
      </c>
      <c r="Q12" t="s">
        <v>51</v>
      </c>
      <c r="R12" t="s">
        <v>51</v>
      </c>
      <c r="T12" t="s">
        <v>48</v>
      </c>
      <c r="U12">
        <v>8760</v>
      </c>
      <c r="AA12">
        <f t="shared" si="0"/>
        <v>-2.265546348834524E-2</v>
      </c>
      <c r="AB12">
        <f t="shared" si="1"/>
        <v>-2.3508428754155195E-2</v>
      </c>
    </row>
    <row r="13" spans="1:28" x14ac:dyDescent="0.3">
      <c r="A13" t="s">
        <v>3</v>
      </c>
      <c r="B13" t="s">
        <v>63</v>
      </c>
      <c r="C13" t="s">
        <v>47</v>
      </c>
      <c r="D13">
        <v>378.38995699688985</v>
      </c>
      <c r="E13">
        <v>380.28</v>
      </c>
      <c r="F13">
        <v>378.38</v>
      </c>
      <c r="G13">
        <v>880467.47789062501</v>
      </c>
      <c r="H13">
        <v>585019.36999999895</v>
      </c>
      <c r="I13">
        <v>586851.96000000217</v>
      </c>
      <c r="J13">
        <v>-293615.51789062284</v>
      </c>
      <c r="K13">
        <v>-295448.10789062607</v>
      </c>
      <c r="L13" t="s">
        <v>48</v>
      </c>
      <c r="M13">
        <v>8760</v>
      </c>
      <c r="N13">
        <v>623</v>
      </c>
      <c r="O13" t="s">
        <v>49</v>
      </c>
      <c r="P13" t="s">
        <v>50</v>
      </c>
      <c r="Q13" t="s">
        <v>51</v>
      </c>
      <c r="R13" t="s">
        <v>51</v>
      </c>
      <c r="T13" t="s">
        <v>48</v>
      </c>
      <c r="U13">
        <v>8760</v>
      </c>
      <c r="V13">
        <v>1</v>
      </c>
      <c r="W13">
        <v>0.98900908231735229</v>
      </c>
      <c r="X13">
        <v>0.98900908231735229</v>
      </c>
      <c r="Y13">
        <v>0.98900908231735229</v>
      </c>
      <c r="Z13">
        <v>0.98900908231735229</v>
      </c>
      <c r="AA13">
        <f t="shared" si="0"/>
        <v>-0.33347684640669584</v>
      </c>
      <c r="AB13">
        <f t="shared" si="1"/>
        <v>-0.33555822936066215</v>
      </c>
    </row>
    <row r="14" spans="1:28" x14ac:dyDescent="0.3">
      <c r="A14" t="s">
        <v>3</v>
      </c>
      <c r="B14" t="s">
        <v>64</v>
      </c>
      <c r="C14" t="s">
        <v>47</v>
      </c>
      <c r="D14">
        <v>694.93414399018445</v>
      </c>
      <c r="E14">
        <v>677.84</v>
      </c>
      <c r="F14">
        <v>677.84</v>
      </c>
      <c r="G14">
        <v>1415326.3295468751</v>
      </c>
      <c r="H14">
        <v>1014222.9800000013</v>
      </c>
      <c r="I14">
        <v>1014387.1100000015</v>
      </c>
      <c r="J14">
        <v>-400939.21954687359</v>
      </c>
      <c r="K14">
        <v>-401103.34954687383</v>
      </c>
      <c r="L14" t="s">
        <v>48</v>
      </c>
      <c r="M14">
        <v>8760</v>
      </c>
      <c r="N14">
        <v>1148</v>
      </c>
      <c r="O14" t="s">
        <v>49</v>
      </c>
      <c r="P14" t="s">
        <v>50</v>
      </c>
      <c r="Q14" t="s">
        <v>51</v>
      </c>
      <c r="R14" t="s">
        <v>51</v>
      </c>
      <c r="T14" t="s">
        <v>48</v>
      </c>
      <c r="U14">
        <v>8760</v>
      </c>
      <c r="AA14">
        <f t="shared" si="0"/>
        <v>-0.28328394037242038</v>
      </c>
      <c r="AB14">
        <f t="shared" si="1"/>
        <v>-0.28339990656097619</v>
      </c>
    </row>
    <row r="15" spans="1:28" x14ac:dyDescent="0.3">
      <c r="A15" t="s">
        <v>3</v>
      </c>
      <c r="B15" t="s">
        <v>65</v>
      </c>
      <c r="C15" t="s">
        <v>47</v>
      </c>
      <c r="D15">
        <v>735.24527282486611</v>
      </c>
      <c r="E15">
        <v>1099.25</v>
      </c>
      <c r="F15">
        <v>732.46</v>
      </c>
      <c r="G15">
        <v>1410786.6916328126</v>
      </c>
      <c r="H15">
        <v>1779921.6899999976</v>
      </c>
      <c r="I15">
        <v>1184036.8100000005</v>
      </c>
      <c r="J15">
        <v>-226749.88163281209</v>
      </c>
      <c r="K15">
        <v>369134.99836718501</v>
      </c>
      <c r="L15" t="s">
        <v>48</v>
      </c>
      <c r="M15">
        <v>8760</v>
      </c>
      <c r="N15">
        <v>1216</v>
      </c>
      <c r="O15" t="s">
        <v>49</v>
      </c>
      <c r="P15" t="s">
        <v>50</v>
      </c>
      <c r="Q15" t="s">
        <v>51</v>
      </c>
      <c r="R15" t="s">
        <v>51</v>
      </c>
      <c r="T15" t="s">
        <v>48</v>
      </c>
      <c r="U15">
        <v>8760</v>
      </c>
      <c r="V15">
        <v>1</v>
      </c>
      <c r="W15">
        <v>0.9921562671661377</v>
      </c>
      <c r="X15">
        <v>0.9921562671661377</v>
      </c>
      <c r="Y15">
        <v>0.9921562671661377</v>
      </c>
      <c r="Z15">
        <v>0.9921562671661377</v>
      </c>
      <c r="AA15">
        <f t="shared" si="0"/>
        <v>-0.16072584394057254</v>
      </c>
      <c r="AB15">
        <f t="shared" si="1"/>
        <v>0.2616518858282938</v>
      </c>
    </row>
    <row r="16" spans="1:28" x14ac:dyDescent="0.3">
      <c r="A16" t="s">
        <v>3</v>
      </c>
      <c r="B16" t="s">
        <v>66</v>
      </c>
      <c r="C16" t="s">
        <v>47</v>
      </c>
      <c r="D16">
        <v>483.60073633411224</v>
      </c>
      <c r="E16">
        <v>474.2</v>
      </c>
      <c r="F16">
        <v>474.2</v>
      </c>
      <c r="G16">
        <v>1141347.0878437501</v>
      </c>
      <c r="H16">
        <v>701826.81000000169</v>
      </c>
      <c r="I16">
        <v>708260.14000000211</v>
      </c>
      <c r="J16">
        <v>-433086.94784374803</v>
      </c>
      <c r="K16">
        <v>-439520.27784374845</v>
      </c>
      <c r="L16" t="s">
        <v>48</v>
      </c>
      <c r="M16">
        <v>8760</v>
      </c>
      <c r="N16">
        <v>797</v>
      </c>
      <c r="O16" t="s">
        <v>49</v>
      </c>
      <c r="P16" t="s">
        <v>50</v>
      </c>
      <c r="Q16" t="s">
        <v>51</v>
      </c>
      <c r="R16" t="s">
        <v>51</v>
      </c>
      <c r="T16" t="s">
        <v>48</v>
      </c>
      <c r="U16">
        <v>8760</v>
      </c>
      <c r="AA16">
        <f t="shared" si="0"/>
        <v>-0.37945244917735088</v>
      </c>
      <c r="AB16">
        <f t="shared" si="1"/>
        <v>-0.38508906057148373</v>
      </c>
    </row>
    <row r="17" spans="1:28" x14ac:dyDescent="0.3">
      <c r="A17" t="s">
        <v>3</v>
      </c>
      <c r="B17" t="s">
        <v>67</v>
      </c>
      <c r="C17" t="s">
        <v>47</v>
      </c>
      <c r="D17">
        <v>503.4881674734263</v>
      </c>
      <c r="E17">
        <v>685.11</v>
      </c>
      <c r="F17">
        <v>491.6</v>
      </c>
      <c r="G17">
        <v>1057462.0822109375</v>
      </c>
      <c r="H17">
        <v>1108829.8399999947</v>
      </c>
      <c r="I17">
        <v>795441.89999999537</v>
      </c>
      <c r="J17">
        <v>-262020.18221094215</v>
      </c>
      <c r="K17">
        <v>51367.757789057214</v>
      </c>
      <c r="L17" t="s">
        <v>48</v>
      </c>
      <c r="M17">
        <v>8760</v>
      </c>
      <c r="N17">
        <v>833</v>
      </c>
      <c r="O17" t="s">
        <v>49</v>
      </c>
      <c r="P17" t="s">
        <v>50</v>
      </c>
      <c r="Q17" t="s">
        <v>51</v>
      </c>
      <c r="R17" t="s">
        <v>51</v>
      </c>
      <c r="T17" t="s">
        <v>48</v>
      </c>
      <c r="U17">
        <v>8760</v>
      </c>
      <c r="V17">
        <v>1</v>
      </c>
      <c r="W17">
        <v>0.99715733528137207</v>
      </c>
      <c r="X17">
        <v>0.99715733528137207</v>
      </c>
      <c r="Y17">
        <v>0.99715733528137207</v>
      </c>
      <c r="Z17">
        <v>0.99715733528137207</v>
      </c>
      <c r="AA17">
        <f t="shared" si="0"/>
        <v>-0.24778210644027196</v>
      </c>
      <c r="AB17">
        <f t="shared" si="1"/>
        <v>4.8576453617757823E-2</v>
      </c>
    </row>
    <row r="18" spans="1:28" x14ac:dyDescent="0.3">
      <c r="A18" t="s">
        <v>3</v>
      </c>
      <c r="B18" t="s">
        <v>68</v>
      </c>
      <c r="C18" t="s">
        <v>47</v>
      </c>
      <c r="D18">
        <v>554.50829210178597</v>
      </c>
      <c r="E18">
        <v>559.37</v>
      </c>
      <c r="F18">
        <v>559.37</v>
      </c>
      <c r="G18">
        <v>1140396.1570078125</v>
      </c>
      <c r="H18">
        <v>905124.90999999992</v>
      </c>
      <c r="I18">
        <v>905111.97000000137</v>
      </c>
      <c r="J18">
        <v>-235284.18700781115</v>
      </c>
      <c r="K18">
        <v>-235271.24700781261</v>
      </c>
      <c r="L18" t="s">
        <v>48</v>
      </c>
      <c r="M18">
        <v>8760</v>
      </c>
      <c r="N18">
        <v>913</v>
      </c>
      <c r="O18" t="s">
        <v>49</v>
      </c>
      <c r="P18" t="s">
        <v>50</v>
      </c>
      <c r="Q18" t="s">
        <v>51</v>
      </c>
      <c r="R18" t="s">
        <v>51</v>
      </c>
      <c r="T18" t="s">
        <v>48</v>
      </c>
      <c r="U18">
        <v>8760</v>
      </c>
      <c r="AA18">
        <f t="shared" si="0"/>
        <v>-0.20631794097338341</v>
      </c>
      <c r="AB18">
        <f t="shared" si="1"/>
        <v>-0.20630659403932106</v>
      </c>
    </row>
    <row r="19" spans="1:28" x14ac:dyDescent="0.3">
      <c r="A19" t="s">
        <v>3</v>
      </c>
      <c r="B19" t="s">
        <v>69</v>
      </c>
      <c r="C19" t="s">
        <v>47</v>
      </c>
      <c r="D19">
        <v>409.85257902721372</v>
      </c>
      <c r="E19">
        <v>430.84</v>
      </c>
      <c r="F19">
        <v>430.84</v>
      </c>
      <c r="G19">
        <v>938017.34210937505</v>
      </c>
      <c r="H19">
        <v>631905.6099999994</v>
      </c>
      <c r="I19">
        <v>631904.09000000113</v>
      </c>
      <c r="J19">
        <v>-306113.25210937392</v>
      </c>
      <c r="K19">
        <v>-306111.73210937565</v>
      </c>
      <c r="L19" t="s">
        <v>48</v>
      </c>
      <c r="M19">
        <v>8760</v>
      </c>
      <c r="N19">
        <v>674</v>
      </c>
      <c r="O19" t="s">
        <v>49</v>
      </c>
      <c r="P19" t="s">
        <v>50</v>
      </c>
      <c r="Q19" t="s">
        <v>51</v>
      </c>
      <c r="R19" t="s">
        <v>51</v>
      </c>
      <c r="T19" t="s">
        <v>48</v>
      </c>
      <c r="U19">
        <v>8760</v>
      </c>
      <c r="AA19">
        <f t="shared" si="0"/>
        <v>-0.3263407171353559</v>
      </c>
      <c r="AB19">
        <f t="shared" si="1"/>
        <v>-0.3263390966962339</v>
      </c>
    </row>
    <row r="20" spans="1:28" x14ac:dyDescent="0.3">
      <c r="A20" t="s">
        <v>3</v>
      </c>
      <c r="B20" t="s">
        <v>70</v>
      </c>
      <c r="C20" t="s">
        <v>47</v>
      </c>
      <c r="D20">
        <v>247.22561700996837</v>
      </c>
      <c r="E20">
        <v>247.22</v>
      </c>
      <c r="F20">
        <v>247.22</v>
      </c>
      <c r="G20">
        <v>544955.57646875002</v>
      </c>
      <c r="H20">
        <v>351934.94000000093</v>
      </c>
      <c r="I20">
        <v>352061.16000000027</v>
      </c>
      <c r="J20">
        <v>-192894.41646874975</v>
      </c>
      <c r="K20">
        <v>-193020.63646874909</v>
      </c>
      <c r="L20" t="s">
        <v>48</v>
      </c>
      <c r="M20">
        <v>8760</v>
      </c>
      <c r="N20">
        <v>409</v>
      </c>
      <c r="O20" t="s">
        <v>49</v>
      </c>
      <c r="P20" t="s">
        <v>50</v>
      </c>
      <c r="Q20" t="s">
        <v>51</v>
      </c>
      <c r="R20" t="s">
        <v>51</v>
      </c>
      <c r="T20" t="s">
        <v>48</v>
      </c>
      <c r="U20">
        <v>8760</v>
      </c>
      <c r="AA20">
        <f t="shared" si="0"/>
        <v>-0.3539635610643414</v>
      </c>
      <c r="AB20">
        <f t="shared" si="1"/>
        <v>-0.35419517627381814</v>
      </c>
    </row>
    <row r="21" spans="1:28" x14ac:dyDescent="0.3">
      <c r="A21" t="s">
        <v>3</v>
      </c>
      <c r="B21" t="s">
        <v>71</v>
      </c>
      <c r="C21" t="s">
        <v>47</v>
      </c>
      <c r="D21">
        <v>453.16461369242427</v>
      </c>
      <c r="E21">
        <v>453.16</v>
      </c>
      <c r="F21">
        <v>453.16</v>
      </c>
      <c r="G21">
        <v>1113595.6709375</v>
      </c>
      <c r="H21">
        <v>732594.52000000118</v>
      </c>
      <c r="I21">
        <v>732051.79999999981</v>
      </c>
      <c r="J21">
        <v>-381543.87093750015</v>
      </c>
      <c r="K21">
        <v>-381001.15093749878</v>
      </c>
      <c r="L21" t="s">
        <v>48</v>
      </c>
      <c r="M21">
        <v>8760</v>
      </c>
      <c r="N21">
        <v>751</v>
      </c>
      <c r="O21" t="s">
        <v>49</v>
      </c>
      <c r="P21" t="s">
        <v>50</v>
      </c>
      <c r="Q21" t="s">
        <v>51</v>
      </c>
      <c r="R21" t="s">
        <v>51</v>
      </c>
      <c r="T21" t="s">
        <v>48</v>
      </c>
      <c r="U21">
        <v>8760</v>
      </c>
      <c r="AA21">
        <f t="shared" si="0"/>
        <v>-0.34262334247069298</v>
      </c>
      <c r="AB21">
        <f t="shared" si="1"/>
        <v>-0.34213598425427272</v>
      </c>
    </row>
    <row r="22" spans="1:28" x14ac:dyDescent="0.3">
      <c r="A22" t="s">
        <v>3</v>
      </c>
      <c r="B22" t="s">
        <v>72</v>
      </c>
      <c r="C22" t="s">
        <v>47</v>
      </c>
      <c r="D22">
        <v>370.47287369398555</v>
      </c>
      <c r="E22">
        <v>437.59</v>
      </c>
      <c r="F22">
        <v>370.47</v>
      </c>
      <c r="G22">
        <v>701489.609890625</v>
      </c>
      <c r="H22">
        <v>632877.76000000082</v>
      </c>
      <c r="I22">
        <v>536729.5199999992</v>
      </c>
      <c r="J22">
        <v>-164760.08989062579</v>
      </c>
      <c r="K22">
        <v>-68611.849890624173</v>
      </c>
      <c r="L22" t="s">
        <v>48</v>
      </c>
      <c r="M22">
        <v>8760</v>
      </c>
      <c r="N22">
        <v>613</v>
      </c>
      <c r="O22" t="s">
        <v>49</v>
      </c>
      <c r="P22" t="s">
        <v>50</v>
      </c>
      <c r="Q22" t="s">
        <v>51</v>
      </c>
      <c r="R22" t="s">
        <v>51</v>
      </c>
      <c r="T22" t="s">
        <v>48</v>
      </c>
      <c r="U22">
        <v>8760</v>
      </c>
      <c r="V22">
        <v>2</v>
      </c>
      <c r="W22">
        <v>0.79047477245330811</v>
      </c>
      <c r="X22">
        <v>0.79038689106246152</v>
      </c>
      <c r="Y22">
        <v>0.71902865171432495</v>
      </c>
      <c r="Z22">
        <v>0.86192089319229126</v>
      </c>
      <c r="AA22">
        <f t="shared" si="0"/>
        <v>-0.23487174659125015</v>
      </c>
      <c r="AB22">
        <f t="shared" si="1"/>
        <v>-9.7808789928224324E-2</v>
      </c>
    </row>
    <row r="23" spans="1:28" x14ac:dyDescent="0.3">
      <c r="A23" t="s">
        <v>3</v>
      </c>
      <c r="B23" t="s">
        <v>73</v>
      </c>
      <c r="C23" t="s">
        <v>47</v>
      </c>
      <c r="D23">
        <v>236.53398952913864</v>
      </c>
      <c r="E23">
        <v>240.64</v>
      </c>
      <c r="F23">
        <v>236.53</v>
      </c>
      <c r="G23">
        <v>563281.87818750006</v>
      </c>
      <c r="H23">
        <v>337315.38000000041</v>
      </c>
      <c r="I23">
        <v>334985.99000000133</v>
      </c>
      <c r="J23">
        <v>-228295.88818749873</v>
      </c>
      <c r="K23">
        <v>-225966.49818749964</v>
      </c>
      <c r="L23" t="s">
        <v>48</v>
      </c>
      <c r="M23">
        <v>8760</v>
      </c>
      <c r="N23">
        <v>390</v>
      </c>
      <c r="O23" t="s">
        <v>49</v>
      </c>
      <c r="P23" t="s">
        <v>50</v>
      </c>
      <c r="Q23" t="s">
        <v>51</v>
      </c>
      <c r="R23" t="s">
        <v>51</v>
      </c>
      <c r="T23" t="s">
        <v>48</v>
      </c>
      <c r="U23">
        <v>8760</v>
      </c>
      <c r="V23">
        <v>2</v>
      </c>
      <c r="W23">
        <v>0.8522438108921051</v>
      </c>
      <c r="X23">
        <v>0.85216369399578196</v>
      </c>
      <c r="Y23">
        <v>0.73397493362426758</v>
      </c>
      <c r="Z23">
        <v>0.97051268815994263</v>
      </c>
      <c r="AA23">
        <f t="shared" si="0"/>
        <v>-0.40529599305075764</v>
      </c>
      <c r="AB23">
        <f t="shared" si="1"/>
        <v>-0.40116060348790772</v>
      </c>
    </row>
    <row r="24" spans="1:28" x14ac:dyDescent="0.3">
      <c r="A24" t="s">
        <v>3</v>
      </c>
      <c r="B24" t="s">
        <v>74</v>
      </c>
      <c r="C24" t="s">
        <v>47</v>
      </c>
      <c r="D24">
        <v>366.54351765787283</v>
      </c>
      <c r="E24">
        <v>434.11</v>
      </c>
      <c r="F24">
        <v>366.54</v>
      </c>
      <c r="G24">
        <v>833995.78135156247</v>
      </c>
      <c r="H24">
        <v>581495.81000000006</v>
      </c>
      <c r="I24">
        <v>510463.68999999954</v>
      </c>
      <c r="J24">
        <v>-323532.09135156294</v>
      </c>
      <c r="K24">
        <v>-252499.97135156242</v>
      </c>
      <c r="L24" t="s">
        <v>48</v>
      </c>
      <c r="M24">
        <v>8760</v>
      </c>
      <c r="N24">
        <v>604</v>
      </c>
      <c r="O24" t="s">
        <v>49</v>
      </c>
      <c r="P24" t="s">
        <v>50</v>
      </c>
      <c r="Q24" t="s">
        <v>51</v>
      </c>
      <c r="R24" t="s">
        <v>51</v>
      </c>
      <c r="T24" t="s">
        <v>48</v>
      </c>
      <c r="U24">
        <v>8760</v>
      </c>
      <c r="V24">
        <v>3</v>
      </c>
      <c r="W24">
        <v>0.63104440768559777</v>
      </c>
      <c r="X24">
        <v>0.59451033254322649</v>
      </c>
      <c r="Y24">
        <v>0.48430615663528442</v>
      </c>
      <c r="Z24">
        <v>0.9078754186630249</v>
      </c>
      <c r="AA24">
        <f t="shared" si="0"/>
        <v>-0.38793012936738258</v>
      </c>
      <c r="AB24">
        <f t="shared" si="1"/>
        <v>-0.30275929087118919</v>
      </c>
    </row>
    <row r="25" spans="1:28" x14ac:dyDescent="0.3">
      <c r="A25" t="s">
        <v>3</v>
      </c>
      <c r="B25" t="s">
        <v>75</v>
      </c>
      <c r="C25" t="s">
        <v>47</v>
      </c>
      <c r="D25">
        <v>234.33676148704424</v>
      </c>
      <c r="E25">
        <v>238.15</v>
      </c>
      <c r="F25">
        <v>234.34</v>
      </c>
      <c r="G25">
        <v>419237.25017968751</v>
      </c>
      <c r="H25">
        <v>336759.58999999973</v>
      </c>
      <c r="I25">
        <v>341395.79000000039</v>
      </c>
      <c r="J25">
        <v>-77841.460179687128</v>
      </c>
      <c r="K25">
        <v>-82477.66017968778</v>
      </c>
      <c r="L25" t="s">
        <v>48</v>
      </c>
      <c r="M25">
        <v>8760</v>
      </c>
      <c r="N25">
        <v>386</v>
      </c>
      <c r="O25" t="s">
        <v>49</v>
      </c>
      <c r="P25" t="s">
        <v>50</v>
      </c>
      <c r="Q25" t="s">
        <v>51</v>
      </c>
      <c r="R25" t="s">
        <v>51</v>
      </c>
      <c r="T25" t="s">
        <v>48</v>
      </c>
      <c r="U25">
        <v>8760</v>
      </c>
      <c r="V25">
        <v>2</v>
      </c>
      <c r="W25">
        <v>0.99722275137901306</v>
      </c>
      <c r="X25">
        <v>0.99722227894375703</v>
      </c>
      <c r="Y25">
        <v>0.99529403448104858</v>
      </c>
      <c r="Z25">
        <v>0.99915146827697754</v>
      </c>
      <c r="AA25">
        <f t="shared" si="0"/>
        <v>-0.18567400713157961</v>
      </c>
      <c r="AB25">
        <f t="shared" si="1"/>
        <v>-0.19673266186231633</v>
      </c>
    </row>
    <row r="26" spans="1:28" x14ac:dyDescent="0.3">
      <c r="A26" t="s">
        <v>3</v>
      </c>
      <c r="B26" t="s">
        <v>76</v>
      </c>
      <c r="C26" t="s">
        <v>47</v>
      </c>
      <c r="D26">
        <v>369.20056358282659</v>
      </c>
      <c r="E26">
        <v>434.06</v>
      </c>
      <c r="F26">
        <v>369.2</v>
      </c>
      <c r="G26">
        <v>838283.13274218747</v>
      </c>
      <c r="H26">
        <v>614885.09999999823</v>
      </c>
      <c r="I26">
        <v>547141.56000000064</v>
      </c>
      <c r="J26">
        <v>-291141.57274218684</v>
      </c>
      <c r="K26">
        <v>-223398.03274218924</v>
      </c>
      <c r="L26" t="s">
        <v>48</v>
      </c>
      <c r="M26">
        <v>8760</v>
      </c>
      <c r="N26">
        <v>610</v>
      </c>
      <c r="O26" t="s">
        <v>49</v>
      </c>
      <c r="P26" t="s">
        <v>50</v>
      </c>
      <c r="Q26" t="s">
        <v>51</v>
      </c>
      <c r="R26" t="s">
        <v>51</v>
      </c>
      <c r="T26" t="s">
        <v>48</v>
      </c>
      <c r="U26">
        <v>8760</v>
      </c>
      <c r="V26">
        <v>3</v>
      </c>
      <c r="W26">
        <v>0.74841326475143433</v>
      </c>
      <c r="X26">
        <v>0.73400292371825582</v>
      </c>
      <c r="Y26">
        <v>0.61649960279464722</v>
      </c>
      <c r="Z26">
        <v>0.93816554546356201</v>
      </c>
      <c r="AA26">
        <f t="shared" si="0"/>
        <v>-0.34730696750369533</v>
      </c>
      <c r="AB26">
        <f t="shared" si="1"/>
        <v>-0.26649472477325264</v>
      </c>
    </row>
    <row r="27" spans="1:28" x14ac:dyDescent="0.3">
      <c r="A27" t="s">
        <v>3</v>
      </c>
      <c r="B27" t="s">
        <v>77</v>
      </c>
      <c r="C27" t="s">
        <v>47</v>
      </c>
      <c r="D27">
        <v>239.06366887064294</v>
      </c>
      <c r="E27">
        <v>245.35</v>
      </c>
      <c r="F27">
        <v>239.06</v>
      </c>
      <c r="G27">
        <v>585334.71849999996</v>
      </c>
      <c r="H27">
        <v>372831.08000000007</v>
      </c>
      <c r="I27">
        <v>369790.15999999928</v>
      </c>
      <c r="J27">
        <v>-215544.55850000068</v>
      </c>
      <c r="K27">
        <v>-212503.63849999988</v>
      </c>
      <c r="L27" t="s">
        <v>48</v>
      </c>
      <c r="M27">
        <v>8760</v>
      </c>
      <c r="N27">
        <v>395</v>
      </c>
      <c r="O27" t="s">
        <v>49</v>
      </c>
      <c r="P27" t="s">
        <v>50</v>
      </c>
      <c r="Q27" t="s">
        <v>51</v>
      </c>
      <c r="R27" t="s">
        <v>51</v>
      </c>
      <c r="T27" t="s">
        <v>48</v>
      </c>
      <c r="U27">
        <v>8760</v>
      </c>
      <c r="V27">
        <v>2</v>
      </c>
      <c r="W27">
        <v>0.99331983923912048</v>
      </c>
      <c r="X27">
        <v>0.99331339309184918</v>
      </c>
      <c r="Y27">
        <v>0.9876328706741333</v>
      </c>
      <c r="Z27">
        <v>0.99900680780410767</v>
      </c>
      <c r="AA27">
        <f t="shared" si="0"/>
        <v>-0.36824154058785885</v>
      </c>
      <c r="AB27">
        <f t="shared" si="1"/>
        <v>-0.36304635926016732</v>
      </c>
    </row>
    <row r="28" spans="1:28" x14ac:dyDescent="0.3">
      <c r="A28" t="s">
        <v>3</v>
      </c>
      <c r="B28" t="s">
        <v>78</v>
      </c>
      <c r="C28" t="s">
        <v>47</v>
      </c>
      <c r="D28">
        <v>371.10671510062213</v>
      </c>
      <c r="E28">
        <v>433.19</v>
      </c>
      <c r="F28">
        <v>371.11</v>
      </c>
      <c r="G28">
        <v>735606.37049218756</v>
      </c>
      <c r="H28">
        <v>683129.46999999834</v>
      </c>
      <c r="I28">
        <v>565560.93999999866</v>
      </c>
      <c r="J28">
        <v>-170045.4304921889</v>
      </c>
      <c r="K28">
        <v>-52476.900492189219</v>
      </c>
      <c r="L28" t="s">
        <v>48</v>
      </c>
      <c r="M28">
        <v>8760</v>
      </c>
      <c r="N28">
        <v>614</v>
      </c>
      <c r="O28" t="s">
        <v>49</v>
      </c>
      <c r="P28" t="s">
        <v>50</v>
      </c>
      <c r="Q28" t="s">
        <v>51</v>
      </c>
      <c r="R28" t="s">
        <v>51</v>
      </c>
      <c r="T28" t="s">
        <v>48</v>
      </c>
      <c r="U28">
        <v>8760</v>
      </c>
      <c r="V28">
        <v>2</v>
      </c>
      <c r="W28">
        <v>0.81320443749427795</v>
      </c>
      <c r="X28">
        <v>0.81318384996315851</v>
      </c>
      <c r="Y28">
        <v>0.68578118085861206</v>
      </c>
      <c r="Z28">
        <v>0.94062769412994385</v>
      </c>
      <c r="AA28">
        <f t="shared" si="0"/>
        <v>-0.23116361863262963</v>
      </c>
      <c r="AB28">
        <f t="shared" si="1"/>
        <v>-7.1338289875164343E-2</v>
      </c>
    </row>
    <row r="29" spans="1:28" x14ac:dyDescent="0.3">
      <c r="A29" t="s">
        <v>3</v>
      </c>
      <c r="B29" t="s">
        <v>79</v>
      </c>
      <c r="C29" t="s">
        <v>47</v>
      </c>
      <c r="D29">
        <v>370.74443760040469</v>
      </c>
      <c r="E29">
        <v>437.5</v>
      </c>
      <c r="F29">
        <v>370.74</v>
      </c>
      <c r="G29">
        <v>841388.05964062503</v>
      </c>
      <c r="H29">
        <v>628483.32000000018</v>
      </c>
      <c r="I29">
        <v>542774.37000000058</v>
      </c>
      <c r="J29">
        <v>-298613.68964062445</v>
      </c>
      <c r="K29">
        <v>-212904.73964062484</v>
      </c>
      <c r="L29" t="s">
        <v>48</v>
      </c>
      <c r="M29">
        <v>8760</v>
      </c>
      <c r="N29">
        <v>612</v>
      </c>
      <c r="O29" t="s">
        <v>49</v>
      </c>
      <c r="P29" t="s">
        <v>50</v>
      </c>
      <c r="Q29" t="s">
        <v>51</v>
      </c>
      <c r="R29" t="s">
        <v>51</v>
      </c>
      <c r="T29" t="s">
        <v>48</v>
      </c>
      <c r="U29">
        <v>8760</v>
      </c>
      <c r="V29">
        <v>3</v>
      </c>
      <c r="W29">
        <v>0.70623027284940088</v>
      </c>
      <c r="X29">
        <v>0.71726260633637384</v>
      </c>
      <c r="Y29">
        <v>0.43796315789222717</v>
      </c>
      <c r="Z29">
        <v>0.93002462387084961</v>
      </c>
      <c r="AA29">
        <f t="shared" si="0"/>
        <v>-0.35490602251732545</v>
      </c>
      <c r="AB29">
        <f t="shared" si="1"/>
        <v>-0.25303988712599634</v>
      </c>
    </row>
    <row r="30" spans="1:28" x14ac:dyDescent="0.3">
      <c r="A30" t="s">
        <v>3</v>
      </c>
      <c r="B30" t="s">
        <v>80</v>
      </c>
      <c r="C30" t="s">
        <v>47</v>
      </c>
      <c r="D30">
        <v>237.23200376810422</v>
      </c>
      <c r="E30">
        <v>243.08</v>
      </c>
      <c r="F30">
        <v>237.23</v>
      </c>
      <c r="G30">
        <v>583179.32837500004</v>
      </c>
      <c r="H30">
        <v>377373.86999999895</v>
      </c>
      <c r="I30">
        <v>307207.12999999989</v>
      </c>
      <c r="J30">
        <v>-275972.19837500015</v>
      </c>
      <c r="K30">
        <v>-205805.45837500109</v>
      </c>
      <c r="L30" t="s">
        <v>48</v>
      </c>
      <c r="M30">
        <v>8760</v>
      </c>
      <c r="N30">
        <v>392</v>
      </c>
      <c r="O30" t="s">
        <v>49</v>
      </c>
      <c r="P30" t="s">
        <v>50</v>
      </c>
      <c r="Q30" t="s">
        <v>51</v>
      </c>
      <c r="R30" t="s">
        <v>51</v>
      </c>
      <c r="T30" t="s">
        <v>48</v>
      </c>
      <c r="U30">
        <v>8760</v>
      </c>
      <c r="V30">
        <v>2</v>
      </c>
      <c r="W30">
        <v>0.82944682240486145</v>
      </c>
      <c r="X30">
        <v>0.82964100933008078</v>
      </c>
      <c r="Y30">
        <v>0.70879900455474854</v>
      </c>
      <c r="Z30">
        <v>0.95009464025497437</v>
      </c>
      <c r="AA30">
        <f t="shared" si="0"/>
        <v>-0.47322013135133384</v>
      </c>
      <c r="AB30">
        <f t="shared" si="1"/>
        <v>-0.35290252648095</v>
      </c>
    </row>
    <row r="31" spans="1:28" x14ac:dyDescent="0.3">
      <c r="A31" t="s">
        <v>3</v>
      </c>
      <c r="B31" t="s">
        <v>81</v>
      </c>
      <c r="C31" t="s">
        <v>47</v>
      </c>
      <c r="D31">
        <v>372.25901245316396</v>
      </c>
      <c r="E31">
        <v>435.84</v>
      </c>
      <c r="F31">
        <v>372.26</v>
      </c>
      <c r="G31">
        <v>766199.57140625</v>
      </c>
      <c r="H31">
        <v>645703.49999999919</v>
      </c>
      <c r="I31">
        <v>533110.07999999879</v>
      </c>
      <c r="J31">
        <v>-233089.49140625121</v>
      </c>
      <c r="K31">
        <v>-120496.07140625082</v>
      </c>
      <c r="L31" t="s">
        <v>48</v>
      </c>
      <c r="M31">
        <v>8760</v>
      </c>
      <c r="N31">
        <v>611</v>
      </c>
      <c r="O31" t="s">
        <v>49</v>
      </c>
      <c r="P31" t="s">
        <v>50</v>
      </c>
      <c r="Q31" t="s">
        <v>51</v>
      </c>
      <c r="R31" t="s">
        <v>51</v>
      </c>
      <c r="T31" t="s">
        <v>48</v>
      </c>
      <c r="U31">
        <v>8760</v>
      </c>
      <c r="V31">
        <v>2</v>
      </c>
      <c r="W31">
        <v>0.90169110894203186</v>
      </c>
      <c r="X31">
        <v>0.9016989735309956</v>
      </c>
      <c r="Y31">
        <v>0.87058228254318237</v>
      </c>
      <c r="Z31">
        <v>0.93279993534088135</v>
      </c>
      <c r="AA31">
        <f t="shared" si="0"/>
        <v>-0.30421511588481925</v>
      </c>
      <c r="AB31">
        <f t="shared" si="1"/>
        <v>-0.15726460298730979</v>
      </c>
    </row>
    <row r="32" spans="1:28" x14ac:dyDescent="0.3">
      <c r="A32" t="s">
        <v>3</v>
      </c>
      <c r="B32" t="s">
        <v>82</v>
      </c>
      <c r="C32" t="s">
        <v>47</v>
      </c>
      <c r="D32">
        <v>235.89975493456654</v>
      </c>
      <c r="E32">
        <v>240.43</v>
      </c>
      <c r="F32">
        <v>235.9</v>
      </c>
      <c r="G32">
        <v>451117.05615625001</v>
      </c>
      <c r="H32">
        <v>374201.11999999976</v>
      </c>
      <c r="I32">
        <v>374485.57999999955</v>
      </c>
      <c r="J32">
        <v>-76631.476156250457</v>
      </c>
      <c r="K32">
        <v>-76915.936156250245</v>
      </c>
      <c r="L32" t="s">
        <v>48</v>
      </c>
      <c r="M32">
        <v>8760</v>
      </c>
      <c r="N32">
        <v>389</v>
      </c>
      <c r="O32" t="s">
        <v>49</v>
      </c>
      <c r="P32" t="s">
        <v>50</v>
      </c>
      <c r="Q32" t="s">
        <v>51</v>
      </c>
      <c r="R32" t="s">
        <v>51</v>
      </c>
      <c r="T32" t="s">
        <v>48</v>
      </c>
      <c r="U32">
        <v>8760</v>
      </c>
      <c r="V32">
        <v>2</v>
      </c>
      <c r="W32">
        <v>0.98664414882659912</v>
      </c>
      <c r="X32">
        <v>0.9866594360559009</v>
      </c>
      <c r="Y32">
        <v>0.97587049007415771</v>
      </c>
      <c r="Z32">
        <v>0.99741780757904053</v>
      </c>
      <c r="AA32">
        <f t="shared" si="0"/>
        <v>-0.16987049172822274</v>
      </c>
      <c r="AB32">
        <f t="shared" si="1"/>
        <v>-0.17050105977285296</v>
      </c>
    </row>
    <row r="33" spans="1:28" x14ac:dyDescent="0.3">
      <c r="A33" t="s">
        <v>3</v>
      </c>
      <c r="B33" t="s">
        <v>83</v>
      </c>
      <c r="C33" t="s">
        <v>47</v>
      </c>
      <c r="D33">
        <v>372.87641404951376</v>
      </c>
      <c r="E33">
        <v>437.96</v>
      </c>
      <c r="F33">
        <v>372.88</v>
      </c>
      <c r="G33">
        <v>754922.39365624997</v>
      </c>
      <c r="H33">
        <v>638940.73000000056</v>
      </c>
      <c r="I33">
        <v>594506.85999999975</v>
      </c>
      <c r="J33">
        <v>-160415.53365625022</v>
      </c>
      <c r="K33">
        <v>-115981.66365624941</v>
      </c>
      <c r="L33" t="s">
        <v>48</v>
      </c>
      <c r="M33">
        <v>8760</v>
      </c>
      <c r="N33">
        <v>613</v>
      </c>
      <c r="O33" t="s">
        <v>49</v>
      </c>
      <c r="P33" t="s">
        <v>50</v>
      </c>
      <c r="Q33" t="s">
        <v>51</v>
      </c>
      <c r="R33" t="s">
        <v>51</v>
      </c>
      <c r="T33" t="s">
        <v>48</v>
      </c>
      <c r="U33">
        <v>8760</v>
      </c>
      <c r="V33">
        <v>1</v>
      </c>
      <c r="W33">
        <v>0.85306328535079956</v>
      </c>
      <c r="X33">
        <v>0.85306328535079956</v>
      </c>
      <c r="Y33">
        <v>0.85306328535079956</v>
      </c>
      <c r="Z33">
        <v>0.85306328535079956</v>
      </c>
      <c r="AA33">
        <f t="shared" si="0"/>
        <v>-0.21249274760458969</v>
      </c>
      <c r="AB33">
        <f t="shared" si="1"/>
        <v>-0.15363388956383384</v>
      </c>
    </row>
    <row r="34" spans="1:28" x14ac:dyDescent="0.3">
      <c r="A34" t="s">
        <v>3</v>
      </c>
      <c r="B34" t="s">
        <v>84</v>
      </c>
      <c r="C34" t="s">
        <v>47</v>
      </c>
      <c r="D34">
        <v>238.60140604129373</v>
      </c>
      <c r="E34">
        <v>243.81</v>
      </c>
      <c r="F34">
        <v>238.6</v>
      </c>
      <c r="G34">
        <v>585779.22787499998</v>
      </c>
      <c r="H34">
        <v>371699.87000000029</v>
      </c>
      <c r="I34">
        <v>376704.03999999986</v>
      </c>
      <c r="J34">
        <v>-209075.18787500012</v>
      </c>
      <c r="K34">
        <v>-214079.3578749997</v>
      </c>
      <c r="L34" t="s">
        <v>48</v>
      </c>
      <c r="M34">
        <v>8760</v>
      </c>
      <c r="N34">
        <v>394</v>
      </c>
      <c r="O34" t="s">
        <v>49</v>
      </c>
      <c r="P34" t="s">
        <v>50</v>
      </c>
      <c r="Q34" t="s">
        <v>51</v>
      </c>
      <c r="R34" t="s">
        <v>51</v>
      </c>
      <c r="T34" t="s">
        <v>48</v>
      </c>
      <c r="U34">
        <v>8760</v>
      </c>
      <c r="V34">
        <v>2</v>
      </c>
      <c r="W34">
        <v>0.98999449610710144</v>
      </c>
      <c r="X34">
        <v>0.98999981842883744</v>
      </c>
      <c r="Y34">
        <v>0.98306524753570557</v>
      </c>
      <c r="Z34">
        <v>0.99692374467849731</v>
      </c>
      <c r="AA34">
        <f t="shared" si="0"/>
        <v>-0.35691806388125269</v>
      </c>
      <c r="AB34">
        <f t="shared" si="1"/>
        <v>-0.36546082156515508</v>
      </c>
    </row>
    <row r="35" spans="1:28" x14ac:dyDescent="0.3">
      <c r="A35" t="s">
        <v>3</v>
      </c>
      <c r="B35" t="s">
        <v>85</v>
      </c>
      <c r="C35" t="s">
        <v>47</v>
      </c>
      <c r="D35">
        <v>369.61348279181516</v>
      </c>
      <c r="E35">
        <v>437.15</v>
      </c>
      <c r="F35">
        <v>369.61</v>
      </c>
      <c r="G35">
        <v>855669.69303125003</v>
      </c>
      <c r="H35">
        <v>678063.02999999875</v>
      </c>
      <c r="I35">
        <v>585688.00000000151</v>
      </c>
      <c r="J35">
        <v>-269981.69303124852</v>
      </c>
      <c r="K35">
        <v>-177606.66303125129</v>
      </c>
      <c r="L35" t="s">
        <v>48</v>
      </c>
      <c r="M35">
        <v>8760</v>
      </c>
      <c r="N35">
        <v>611</v>
      </c>
      <c r="O35" t="s">
        <v>49</v>
      </c>
      <c r="P35" t="s">
        <v>50</v>
      </c>
      <c r="Q35" t="s">
        <v>51</v>
      </c>
      <c r="R35" t="s">
        <v>51</v>
      </c>
      <c r="T35" t="s">
        <v>48</v>
      </c>
      <c r="U35">
        <v>8760</v>
      </c>
      <c r="V35">
        <v>4</v>
      </c>
      <c r="W35">
        <v>0.77042022347450256</v>
      </c>
      <c r="X35">
        <v>0.7705059363045601</v>
      </c>
      <c r="Y35">
        <v>0.55201160907745361</v>
      </c>
      <c r="Z35">
        <v>0.93425440788269043</v>
      </c>
      <c r="AA35">
        <f t="shared" si="0"/>
        <v>-0.31552092499013923</v>
      </c>
      <c r="AB35">
        <f t="shared" si="1"/>
        <v>-0.20756451289290304</v>
      </c>
    </row>
    <row r="36" spans="1:28" x14ac:dyDescent="0.3">
      <c r="A36" t="s">
        <v>3</v>
      </c>
      <c r="B36" t="s">
        <v>86</v>
      </c>
      <c r="C36" t="s">
        <v>47</v>
      </c>
      <c r="D36">
        <v>1996.1700056317245</v>
      </c>
      <c r="E36">
        <v>1984.81</v>
      </c>
      <c r="F36">
        <v>1984.81</v>
      </c>
      <c r="G36">
        <v>5404929.7555</v>
      </c>
      <c r="H36">
        <v>3176662.629999991</v>
      </c>
      <c r="I36">
        <v>3178126.1100000064</v>
      </c>
      <c r="J36">
        <v>-2226803.6454999936</v>
      </c>
      <c r="K36">
        <v>-2228267.1255000089</v>
      </c>
      <c r="L36" t="s">
        <v>48</v>
      </c>
      <c r="M36">
        <v>8760</v>
      </c>
      <c r="N36">
        <v>3289</v>
      </c>
      <c r="O36" t="s">
        <v>49</v>
      </c>
      <c r="P36" t="s">
        <v>50</v>
      </c>
      <c r="Q36" t="s">
        <v>51</v>
      </c>
      <c r="R36" t="s">
        <v>51</v>
      </c>
      <c r="T36" t="s">
        <v>48</v>
      </c>
      <c r="U36">
        <v>8760</v>
      </c>
      <c r="AA36">
        <f t="shared" si="0"/>
        <v>-0.41199492800697762</v>
      </c>
      <c r="AB36">
        <f t="shared" si="1"/>
        <v>-0.41226569563324067</v>
      </c>
    </row>
    <row r="37" spans="1:28" x14ac:dyDescent="0.3">
      <c r="A37" t="s">
        <v>3</v>
      </c>
      <c r="B37" t="s">
        <v>87</v>
      </c>
      <c r="C37" t="s">
        <v>47</v>
      </c>
      <c r="D37">
        <v>124.26560305683645</v>
      </c>
      <c r="E37">
        <v>126.66</v>
      </c>
      <c r="F37">
        <v>124.23</v>
      </c>
      <c r="G37">
        <v>182856.72184375001</v>
      </c>
      <c r="H37">
        <v>205103.05000000037</v>
      </c>
      <c r="I37">
        <v>195158.58999999976</v>
      </c>
      <c r="J37">
        <v>12301.868156249751</v>
      </c>
      <c r="K37">
        <v>22246.328156250354</v>
      </c>
      <c r="L37" t="s">
        <v>48</v>
      </c>
      <c r="M37">
        <v>8760</v>
      </c>
      <c r="N37">
        <v>203</v>
      </c>
      <c r="O37" t="s">
        <v>49</v>
      </c>
      <c r="P37" t="s">
        <v>50</v>
      </c>
      <c r="Q37" t="s">
        <v>51</v>
      </c>
      <c r="R37" t="s">
        <v>51</v>
      </c>
      <c r="T37" t="s">
        <v>48</v>
      </c>
      <c r="U37">
        <v>8760</v>
      </c>
      <c r="V37">
        <v>1</v>
      </c>
      <c r="W37">
        <v>0.93508923053741455</v>
      </c>
      <c r="X37">
        <v>0.93508923053741455</v>
      </c>
      <c r="Y37">
        <v>0.93508923053741455</v>
      </c>
      <c r="Z37">
        <v>0.93508923053741455</v>
      </c>
      <c r="AA37">
        <f t="shared" si="0"/>
        <v>6.7275996376888053E-2</v>
      </c>
      <c r="AB37">
        <f t="shared" si="1"/>
        <v>0.12165988721628571</v>
      </c>
    </row>
    <row r="38" spans="1:28" x14ac:dyDescent="0.3">
      <c r="A38" t="s">
        <v>3</v>
      </c>
      <c r="B38" t="s">
        <v>88</v>
      </c>
      <c r="C38" t="s">
        <v>47</v>
      </c>
      <c r="D38">
        <v>123.18186977450087</v>
      </c>
      <c r="E38">
        <v>125.54</v>
      </c>
      <c r="F38">
        <v>123.17</v>
      </c>
      <c r="G38">
        <v>201118.71137500001</v>
      </c>
      <c r="H38">
        <v>164574.21000000017</v>
      </c>
      <c r="I38">
        <v>169032.97999999963</v>
      </c>
      <c r="J38">
        <v>-32085.731375000381</v>
      </c>
      <c r="K38">
        <v>-36544.501374999847</v>
      </c>
      <c r="L38" t="s">
        <v>48</v>
      </c>
      <c r="M38">
        <v>8760</v>
      </c>
      <c r="N38">
        <v>203</v>
      </c>
      <c r="O38" t="s">
        <v>49</v>
      </c>
      <c r="P38" t="s">
        <v>50</v>
      </c>
      <c r="Q38" t="s">
        <v>51</v>
      </c>
      <c r="R38" t="s">
        <v>51</v>
      </c>
      <c r="T38" t="s">
        <v>48</v>
      </c>
      <c r="U38">
        <v>8760</v>
      </c>
      <c r="V38">
        <v>3</v>
      </c>
      <c r="W38">
        <v>0.77790854374567664</v>
      </c>
      <c r="X38">
        <v>0.75724116572799505</v>
      </c>
      <c r="Y38">
        <v>0.6722833514213562</v>
      </c>
      <c r="Z38">
        <v>0.96718853712081909</v>
      </c>
      <c r="AA38">
        <f t="shared" si="0"/>
        <v>-0.15953628161018929</v>
      </c>
      <c r="AB38">
        <f t="shared" si="1"/>
        <v>-0.1817061233395636</v>
      </c>
    </row>
    <row r="39" spans="1:28" x14ac:dyDescent="0.3">
      <c r="A39" t="s">
        <v>3</v>
      </c>
      <c r="B39" t="s">
        <v>89</v>
      </c>
      <c r="C39" t="s">
        <v>47</v>
      </c>
      <c r="D39">
        <v>123.35449520521844</v>
      </c>
      <c r="E39">
        <v>125.44</v>
      </c>
      <c r="F39">
        <v>123.35</v>
      </c>
      <c r="G39">
        <v>207750.69015625</v>
      </c>
      <c r="H39">
        <v>190831.2999999997</v>
      </c>
      <c r="I39">
        <v>194056.90000000014</v>
      </c>
      <c r="J39">
        <v>-13693.790156249859</v>
      </c>
      <c r="K39">
        <v>-16919.390156250302</v>
      </c>
      <c r="L39" t="s">
        <v>48</v>
      </c>
      <c r="M39">
        <v>8760</v>
      </c>
      <c r="N39">
        <v>204</v>
      </c>
      <c r="O39" t="s">
        <v>49</v>
      </c>
      <c r="P39" t="s">
        <v>50</v>
      </c>
      <c r="Q39" t="s">
        <v>51</v>
      </c>
      <c r="R39" t="s">
        <v>51</v>
      </c>
      <c r="T39" t="s">
        <v>48</v>
      </c>
      <c r="U39">
        <v>8760</v>
      </c>
      <c r="V39">
        <v>2</v>
      </c>
      <c r="W39">
        <v>0.66665130853652954</v>
      </c>
      <c r="X39">
        <v>0.66664037125879183</v>
      </c>
      <c r="Y39">
        <v>0.62643146514892578</v>
      </c>
      <c r="Z39">
        <v>0.7068711519241333</v>
      </c>
      <c r="AA39">
        <f t="shared" si="0"/>
        <v>-6.5914535089874854E-2</v>
      </c>
      <c r="AB39">
        <f t="shared" si="1"/>
        <v>-8.1440837301311353E-2</v>
      </c>
    </row>
    <row r="40" spans="1:28" x14ac:dyDescent="0.3">
      <c r="A40" t="s">
        <v>3</v>
      </c>
      <c r="B40" t="s">
        <v>90</v>
      </c>
      <c r="C40" t="s">
        <v>47</v>
      </c>
      <c r="D40">
        <v>122.91209748219146</v>
      </c>
      <c r="E40">
        <v>122.91</v>
      </c>
      <c r="F40">
        <v>122.91</v>
      </c>
      <c r="G40">
        <v>168064.639015625</v>
      </c>
      <c r="H40">
        <v>195629.09000000008</v>
      </c>
      <c r="I40">
        <v>195691.39999999985</v>
      </c>
      <c r="J40">
        <v>27626.760984374851</v>
      </c>
      <c r="K40">
        <v>27564.450984375086</v>
      </c>
      <c r="L40" t="s">
        <v>48</v>
      </c>
      <c r="M40">
        <v>8760</v>
      </c>
      <c r="N40">
        <v>201</v>
      </c>
      <c r="O40" t="s">
        <v>49</v>
      </c>
      <c r="P40" t="s">
        <v>50</v>
      </c>
      <c r="Q40" t="s">
        <v>51</v>
      </c>
      <c r="R40" t="s">
        <v>51</v>
      </c>
      <c r="T40" t="s">
        <v>48</v>
      </c>
      <c r="U40">
        <v>8760</v>
      </c>
      <c r="AA40">
        <f t="shared" si="0"/>
        <v>0.16438175898385374</v>
      </c>
      <c r="AB40">
        <f t="shared" si="1"/>
        <v>0.16401100877509645</v>
      </c>
    </row>
    <row r="41" spans="1:28" x14ac:dyDescent="0.3">
      <c r="A41" t="s">
        <v>3</v>
      </c>
      <c r="B41" t="s">
        <v>91</v>
      </c>
      <c r="C41" t="s">
        <v>47</v>
      </c>
      <c r="D41">
        <v>121.72871093484056</v>
      </c>
      <c r="E41">
        <v>126.67</v>
      </c>
      <c r="F41">
        <v>121.73</v>
      </c>
      <c r="G41">
        <v>184110.09531249999</v>
      </c>
      <c r="H41">
        <v>175268.00000000003</v>
      </c>
      <c r="I41">
        <v>165352.30999999971</v>
      </c>
      <c r="J41">
        <v>-18757.785312500288</v>
      </c>
      <c r="K41">
        <v>-8842.0953124999651</v>
      </c>
      <c r="L41" t="s">
        <v>48</v>
      </c>
      <c r="M41">
        <v>8760</v>
      </c>
      <c r="N41">
        <v>200</v>
      </c>
      <c r="O41" t="s">
        <v>49</v>
      </c>
      <c r="P41" t="s">
        <v>50</v>
      </c>
      <c r="Q41" t="s">
        <v>51</v>
      </c>
      <c r="R41" t="s">
        <v>51</v>
      </c>
      <c r="T41" t="s">
        <v>48</v>
      </c>
      <c r="U41">
        <v>8760</v>
      </c>
      <c r="V41">
        <v>2</v>
      </c>
      <c r="W41">
        <v>0.98341590166091919</v>
      </c>
      <c r="X41">
        <v>0.98350760808033877</v>
      </c>
      <c r="Y41">
        <v>0.96788543462753296</v>
      </c>
      <c r="Z41">
        <v>0.99894636869430542</v>
      </c>
      <c r="AA41">
        <f t="shared" si="0"/>
        <v>-0.10188352398960897</v>
      </c>
      <c r="AB41">
        <f t="shared" si="1"/>
        <v>-4.8026129677961438E-2</v>
      </c>
    </row>
    <row r="42" spans="1:28" x14ac:dyDescent="0.3">
      <c r="A42" t="s">
        <v>3</v>
      </c>
      <c r="B42" t="s">
        <v>92</v>
      </c>
      <c r="C42" t="s">
        <v>47</v>
      </c>
      <c r="D42">
        <v>120.87717554136132</v>
      </c>
      <c r="E42">
        <v>124.2</v>
      </c>
      <c r="F42">
        <v>120.88</v>
      </c>
      <c r="G42">
        <v>233059.40540625001</v>
      </c>
      <c r="H42">
        <v>189216.53999999995</v>
      </c>
      <c r="I42">
        <v>181583.96999999997</v>
      </c>
      <c r="J42">
        <v>-51475.435406250035</v>
      </c>
      <c r="K42">
        <v>-43842.865406250057</v>
      </c>
      <c r="L42" t="s">
        <v>48</v>
      </c>
      <c r="M42">
        <v>8760</v>
      </c>
      <c r="N42">
        <v>201</v>
      </c>
      <c r="O42" t="s">
        <v>49</v>
      </c>
      <c r="P42" t="s">
        <v>50</v>
      </c>
      <c r="Q42" t="s">
        <v>51</v>
      </c>
      <c r="R42" t="s">
        <v>51</v>
      </c>
      <c r="T42" t="s">
        <v>48</v>
      </c>
      <c r="U42">
        <v>8760</v>
      </c>
      <c r="V42">
        <v>2</v>
      </c>
      <c r="W42">
        <v>0.90467402338981628</v>
      </c>
      <c r="X42">
        <v>0.90509089475967652</v>
      </c>
      <c r="Y42">
        <v>0.81226801872253418</v>
      </c>
      <c r="Z42">
        <v>0.99708002805709839</v>
      </c>
      <c r="AA42">
        <f t="shared" si="0"/>
        <v>-0.22086830315439226</v>
      </c>
      <c r="AB42">
        <f t="shared" si="1"/>
        <v>-0.18811884175979415</v>
      </c>
    </row>
    <row r="43" spans="1:28" x14ac:dyDescent="0.3">
      <c r="A43" t="s">
        <v>3</v>
      </c>
      <c r="B43" t="s">
        <v>93</v>
      </c>
      <c r="C43" t="s">
        <v>47</v>
      </c>
      <c r="D43">
        <v>120.0414937883839</v>
      </c>
      <c r="E43">
        <v>122.78</v>
      </c>
      <c r="F43">
        <v>120.04</v>
      </c>
      <c r="G43">
        <v>231558.52409374999</v>
      </c>
      <c r="H43">
        <v>191076.29000000033</v>
      </c>
      <c r="I43">
        <v>189473.21000000011</v>
      </c>
      <c r="J43">
        <v>-42085.314093749883</v>
      </c>
      <c r="K43">
        <v>-40482.234093749663</v>
      </c>
      <c r="L43" t="s">
        <v>48</v>
      </c>
      <c r="M43">
        <v>8760</v>
      </c>
      <c r="N43">
        <v>197</v>
      </c>
      <c r="O43" t="s">
        <v>49</v>
      </c>
      <c r="P43" t="s">
        <v>50</v>
      </c>
      <c r="Q43" t="s">
        <v>51</v>
      </c>
      <c r="R43" t="s">
        <v>51</v>
      </c>
      <c r="T43" t="s">
        <v>48</v>
      </c>
      <c r="U43">
        <v>8760</v>
      </c>
      <c r="V43">
        <v>2</v>
      </c>
      <c r="W43">
        <v>0.88567602634429932</v>
      </c>
      <c r="X43">
        <v>0.88581993016127591</v>
      </c>
      <c r="Y43">
        <v>0.77839010953903198</v>
      </c>
      <c r="Z43">
        <v>0.99296194314956665</v>
      </c>
      <c r="AA43">
        <f t="shared" si="0"/>
        <v>-0.1817480667509826</v>
      </c>
      <c r="AB43">
        <f t="shared" si="1"/>
        <v>-0.17482506529260747</v>
      </c>
    </row>
    <row r="44" spans="1:28" x14ac:dyDescent="0.3">
      <c r="A44" t="s">
        <v>3</v>
      </c>
      <c r="B44" t="s">
        <v>94</v>
      </c>
      <c r="C44" t="s">
        <v>47</v>
      </c>
      <c r="D44">
        <v>121.04616705044249</v>
      </c>
      <c r="E44">
        <v>123.5</v>
      </c>
      <c r="F44">
        <v>121.07</v>
      </c>
      <c r="G44">
        <v>235315.61106250001</v>
      </c>
      <c r="H44">
        <v>192539.12999999986</v>
      </c>
      <c r="I44">
        <v>191020.21000000011</v>
      </c>
      <c r="J44">
        <v>-44295.401062499906</v>
      </c>
      <c r="K44">
        <v>-42776.481062500156</v>
      </c>
      <c r="L44" t="s">
        <v>48</v>
      </c>
      <c r="M44">
        <v>8760</v>
      </c>
      <c r="N44">
        <v>199</v>
      </c>
      <c r="O44" t="s">
        <v>49</v>
      </c>
      <c r="P44" t="s">
        <v>50</v>
      </c>
      <c r="Q44" t="s">
        <v>51</v>
      </c>
      <c r="R44" t="s">
        <v>51</v>
      </c>
      <c r="T44" t="s">
        <v>48</v>
      </c>
      <c r="U44">
        <v>8760</v>
      </c>
      <c r="V44">
        <v>2</v>
      </c>
      <c r="W44">
        <v>0.92972162365913391</v>
      </c>
      <c r="X44">
        <v>0.92972165031573617</v>
      </c>
      <c r="Y44">
        <v>0.92143023014068604</v>
      </c>
      <c r="Z44">
        <v>0.93801301717758179</v>
      </c>
      <c r="AA44">
        <f t="shared" si="0"/>
        <v>-0.18823825951239168</v>
      </c>
      <c r="AB44">
        <f t="shared" si="1"/>
        <v>-0.18178343914097006</v>
      </c>
    </row>
    <row r="45" spans="1:28" x14ac:dyDescent="0.3">
      <c r="A45" t="s">
        <v>3</v>
      </c>
      <c r="B45" t="s">
        <v>95</v>
      </c>
      <c r="C45" t="s">
        <v>47</v>
      </c>
      <c r="D45">
        <v>125.47070361249024</v>
      </c>
      <c r="E45">
        <v>127.86</v>
      </c>
      <c r="F45">
        <v>125.48</v>
      </c>
      <c r="G45">
        <v>251390.657828125</v>
      </c>
      <c r="H45">
        <v>202162.71999999922</v>
      </c>
      <c r="I45">
        <v>200876.83000000037</v>
      </c>
      <c r="J45">
        <v>-50513.827828124631</v>
      </c>
      <c r="K45">
        <v>-49227.937828125781</v>
      </c>
      <c r="L45" t="s">
        <v>48</v>
      </c>
      <c r="M45">
        <v>8760</v>
      </c>
      <c r="N45">
        <v>208</v>
      </c>
      <c r="O45" t="s">
        <v>49</v>
      </c>
      <c r="P45" t="s">
        <v>50</v>
      </c>
      <c r="Q45" t="s">
        <v>51</v>
      </c>
      <c r="R45" t="s">
        <v>51</v>
      </c>
      <c r="T45" t="s">
        <v>48</v>
      </c>
      <c r="U45">
        <v>8760</v>
      </c>
      <c r="V45">
        <v>2</v>
      </c>
      <c r="W45">
        <v>0.85110127925872803</v>
      </c>
      <c r="X45">
        <v>0.85127579689703226</v>
      </c>
      <c r="Y45">
        <v>0.71235156059265137</v>
      </c>
      <c r="Z45">
        <v>0.98985099792480469</v>
      </c>
      <c r="AA45">
        <f t="shared" si="0"/>
        <v>-0.20093756969545296</v>
      </c>
      <c r="AB45">
        <f t="shared" si="1"/>
        <v>-0.19582246314730903</v>
      </c>
    </row>
    <row r="46" spans="1:28" x14ac:dyDescent="0.3">
      <c r="A46" t="s">
        <v>3</v>
      </c>
      <c r="B46" t="s">
        <v>96</v>
      </c>
      <c r="C46" t="s">
        <v>47</v>
      </c>
      <c r="D46">
        <v>116.75256223313664</v>
      </c>
      <c r="E46">
        <v>118.99</v>
      </c>
      <c r="F46">
        <v>116.75</v>
      </c>
      <c r="G46">
        <v>250564.03903124999</v>
      </c>
      <c r="H46">
        <v>188423.85999999996</v>
      </c>
      <c r="I46">
        <v>185929.51000000015</v>
      </c>
      <c r="J46">
        <v>-64634.52903124984</v>
      </c>
      <c r="K46">
        <v>-62140.179031250038</v>
      </c>
      <c r="L46" t="s">
        <v>48</v>
      </c>
      <c r="M46">
        <v>8760</v>
      </c>
      <c r="N46">
        <v>194</v>
      </c>
      <c r="O46" t="s">
        <v>49</v>
      </c>
      <c r="P46" t="s">
        <v>50</v>
      </c>
      <c r="Q46" t="s">
        <v>51</v>
      </c>
      <c r="R46" t="s">
        <v>51</v>
      </c>
      <c r="T46" t="s">
        <v>48</v>
      </c>
      <c r="U46">
        <v>8760</v>
      </c>
      <c r="V46">
        <v>2</v>
      </c>
      <c r="W46">
        <v>0.84195128083229065</v>
      </c>
      <c r="X46">
        <v>0.84210409574068223</v>
      </c>
      <c r="Y46">
        <v>0.71616071462631226</v>
      </c>
      <c r="Z46">
        <v>0.96774184703826904</v>
      </c>
      <c r="AA46">
        <f t="shared" si="0"/>
        <v>-0.25795612682947178</v>
      </c>
      <c r="AB46">
        <f t="shared" si="1"/>
        <v>-0.24800118672855526</v>
      </c>
    </row>
    <row r="47" spans="1:28" x14ac:dyDescent="0.3">
      <c r="A47" t="s">
        <v>3</v>
      </c>
      <c r="B47" t="s">
        <v>97</v>
      </c>
      <c r="C47" t="s">
        <v>47</v>
      </c>
      <c r="D47">
        <v>124.10312756987287</v>
      </c>
      <c r="E47">
        <v>126.54</v>
      </c>
      <c r="F47">
        <v>124.1</v>
      </c>
      <c r="G47">
        <v>262935.11865625001</v>
      </c>
      <c r="H47">
        <v>200488.56000000032</v>
      </c>
      <c r="I47">
        <v>199699.34000000005</v>
      </c>
      <c r="J47">
        <v>-63235.778656249953</v>
      </c>
      <c r="K47">
        <v>-62446.55865624969</v>
      </c>
      <c r="L47" t="s">
        <v>48</v>
      </c>
      <c r="M47">
        <v>8760</v>
      </c>
      <c r="N47">
        <v>205</v>
      </c>
      <c r="O47" t="s">
        <v>49</v>
      </c>
      <c r="P47" t="s">
        <v>50</v>
      </c>
      <c r="Q47" t="s">
        <v>51</v>
      </c>
      <c r="R47" t="s">
        <v>51</v>
      </c>
      <c r="T47" t="s">
        <v>48</v>
      </c>
      <c r="U47">
        <v>8760</v>
      </c>
      <c r="V47">
        <v>2</v>
      </c>
      <c r="W47">
        <v>0.76506629586219788</v>
      </c>
      <c r="X47">
        <v>0.76511363330676629</v>
      </c>
      <c r="Y47">
        <v>0.64732658863067627</v>
      </c>
      <c r="Z47">
        <v>0.88280600309371948</v>
      </c>
      <c r="AA47">
        <f t="shared" si="0"/>
        <v>-0.24049955357588301</v>
      </c>
      <c r="AB47">
        <f t="shared" si="1"/>
        <v>-0.23749797659357028</v>
      </c>
    </row>
    <row r="48" spans="1:28" x14ac:dyDescent="0.3">
      <c r="A48" t="s">
        <v>3</v>
      </c>
      <c r="B48" t="s">
        <v>98</v>
      </c>
      <c r="C48" t="s">
        <v>47</v>
      </c>
      <c r="D48">
        <v>130.90852645081881</v>
      </c>
      <c r="E48">
        <v>132.99</v>
      </c>
      <c r="F48">
        <v>130.91999999999999</v>
      </c>
      <c r="G48">
        <v>281591.34399999998</v>
      </c>
      <c r="H48">
        <v>209111.72999999946</v>
      </c>
      <c r="I48">
        <v>208057.14000000028</v>
      </c>
      <c r="J48">
        <v>-73534.203999999707</v>
      </c>
      <c r="K48">
        <v>-72479.614000000525</v>
      </c>
      <c r="L48" t="s">
        <v>48</v>
      </c>
      <c r="M48">
        <v>8760</v>
      </c>
      <c r="N48">
        <v>217</v>
      </c>
      <c r="O48" t="s">
        <v>49</v>
      </c>
      <c r="P48" t="s">
        <v>50</v>
      </c>
      <c r="Q48" t="s">
        <v>51</v>
      </c>
      <c r="R48" t="s">
        <v>51</v>
      </c>
      <c r="T48" t="s">
        <v>48</v>
      </c>
      <c r="U48">
        <v>8760</v>
      </c>
      <c r="V48">
        <v>2</v>
      </c>
      <c r="W48">
        <v>0.84660360217094421</v>
      </c>
      <c r="X48">
        <v>0.84669886495216018</v>
      </c>
      <c r="Y48">
        <v>0.72411215305328369</v>
      </c>
      <c r="Z48">
        <v>0.96909505128860474</v>
      </c>
      <c r="AA48">
        <f t="shared" si="0"/>
        <v>-0.26113801282187038</v>
      </c>
      <c r="AB48">
        <f t="shared" si="1"/>
        <v>-0.25739290480463251</v>
      </c>
    </row>
    <row r="49" spans="1:28" x14ac:dyDescent="0.3">
      <c r="A49" t="s">
        <v>3</v>
      </c>
      <c r="B49" t="s">
        <v>99</v>
      </c>
      <c r="C49" t="s">
        <v>47</v>
      </c>
      <c r="D49">
        <v>118.41081365152584</v>
      </c>
      <c r="E49">
        <v>121.5</v>
      </c>
      <c r="F49">
        <v>118.44</v>
      </c>
      <c r="G49">
        <v>249276.57103125</v>
      </c>
      <c r="H49">
        <v>190934.86000000019</v>
      </c>
      <c r="I49">
        <v>186691.0800000006</v>
      </c>
      <c r="J49">
        <v>-62585.491031249403</v>
      </c>
      <c r="K49">
        <v>-58341.711031249812</v>
      </c>
      <c r="L49" t="s">
        <v>48</v>
      </c>
      <c r="M49">
        <v>8760</v>
      </c>
      <c r="N49">
        <v>193</v>
      </c>
      <c r="O49" t="s">
        <v>49</v>
      </c>
      <c r="P49" t="s">
        <v>50</v>
      </c>
      <c r="Q49" t="s">
        <v>51</v>
      </c>
      <c r="R49" t="s">
        <v>51</v>
      </c>
      <c r="T49" t="s">
        <v>48</v>
      </c>
      <c r="U49">
        <v>8760</v>
      </c>
      <c r="V49">
        <v>2</v>
      </c>
      <c r="W49">
        <v>0.8725321888923645</v>
      </c>
      <c r="X49">
        <v>0.87299386809755641</v>
      </c>
      <c r="Y49">
        <v>0.76278579235076904</v>
      </c>
      <c r="Z49">
        <v>0.98227858543395996</v>
      </c>
      <c r="AA49">
        <f t="shared" si="0"/>
        <v>-0.25106848498571299</v>
      </c>
      <c r="AB49">
        <f t="shared" si="1"/>
        <v>-0.23404410125625458</v>
      </c>
    </row>
    <row r="50" spans="1:28" x14ac:dyDescent="0.3">
      <c r="A50" t="s">
        <v>3</v>
      </c>
      <c r="B50" t="s">
        <v>100</v>
      </c>
      <c r="C50" t="s">
        <v>47</v>
      </c>
      <c r="D50">
        <v>112.27774131099156</v>
      </c>
      <c r="E50">
        <v>114.03</v>
      </c>
      <c r="F50">
        <v>112.23</v>
      </c>
      <c r="G50">
        <v>131818.98642187502</v>
      </c>
      <c r="H50">
        <v>165270.40000000005</v>
      </c>
      <c r="I50">
        <v>180153.30999999988</v>
      </c>
      <c r="J50">
        <v>48334.323578124866</v>
      </c>
      <c r="K50">
        <v>33451.413578125037</v>
      </c>
      <c r="L50" t="s">
        <v>48</v>
      </c>
      <c r="M50">
        <v>8760</v>
      </c>
      <c r="N50">
        <v>181</v>
      </c>
      <c r="O50" t="s">
        <v>49</v>
      </c>
      <c r="P50" t="s">
        <v>50</v>
      </c>
      <c r="Q50" t="s">
        <v>51</v>
      </c>
      <c r="R50" t="s">
        <v>51</v>
      </c>
      <c r="T50" t="s">
        <v>48</v>
      </c>
      <c r="U50">
        <v>8760</v>
      </c>
      <c r="V50">
        <v>1</v>
      </c>
      <c r="W50">
        <v>0.98493283987045288</v>
      </c>
      <c r="X50">
        <v>0.98493283987045288</v>
      </c>
      <c r="Y50">
        <v>0.98493283987045288</v>
      </c>
      <c r="Z50">
        <v>0.98493283987045288</v>
      </c>
      <c r="AA50">
        <f t="shared" si="0"/>
        <v>0.36667194074330944</v>
      </c>
      <c r="AB50">
        <f t="shared" si="1"/>
        <v>0.25376779541504546</v>
      </c>
    </row>
    <row r="51" spans="1:28" x14ac:dyDescent="0.3">
      <c r="A51" t="s">
        <v>3</v>
      </c>
      <c r="B51" t="s">
        <v>101</v>
      </c>
      <c r="C51" t="s">
        <v>47</v>
      </c>
      <c r="D51">
        <v>57.314386881617999</v>
      </c>
      <c r="E51">
        <v>56.91</v>
      </c>
      <c r="F51">
        <v>56.91</v>
      </c>
      <c r="G51">
        <v>139452.13593749999</v>
      </c>
      <c r="H51">
        <v>91251.780000000406</v>
      </c>
      <c r="I51">
        <v>91606.449999999852</v>
      </c>
      <c r="J51">
        <v>-47845.685937500137</v>
      </c>
      <c r="K51">
        <v>-48200.355937499582</v>
      </c>
      <c r="L51" t="s">
        <v>48</v>
      </c>
      <c r="M51">
        <v>8760</v>
      </c>
      <c r="N51">
        <v>97</v>
      </c>
      <c r="O51" t="s">
        <v>49</v>
      </c>
      <c r="P51" t="s">
        <v>50</v>
      </c>
      <c r="Q51" t="s">
        <v>51</v>
      </c>
      <c r="R51" t="s">
        <v>51</v>
      </c>
      <c r="T51" t="s">
        <v>48</v>
      </c>
      <c r="U51">
        <v>8760</v>
      </c>
      <c r="AA51">
        <f t="shared" si="0"/>
        <v>-0.3430975482436765</v>
      </c>
      <c r="AB51">
        <f t="shared" si="1"/>
        <v>-0.3456408581586885</v>
      </c>
    </row>
    <row r="52" spans="1:28" x14ac:dyDescent="0.3">
      <c r="A52" t="s">
        <v>3</v>
      </c>
      <c r="B52" t="s">
        <v>102</v>
      </c>
      <c r="C52" t="s">
        <v>47</v>
      </c>
      <c r="D52">
        <v>110.62788457108744</v>
      </c>
      <c r="E52">
        <v>112.62</v>
      </c>
      <c r="F52">
        <v>110.6</v>
      </c>
      <c r="G52">
        <v>235285.17587500002</v>
      </c>
      <c r="H52">
        <v>178817.0799999999</v>
      </c>
      <c r="I52">
        <v>178025.36999999991</v>
      </c>
      <c r="J52">
        <v>-57259.805875000107</v>
      </c>
      <c r="K52">
        <v>-56468.095875000115</v>
      </c>
      <c r="L52" t="s">
        <v>48</v>
      </c>
      <c r="M52">
        <v>8760</v>
      </c>
      <c r="N52">
        <v>181</v>
      </c>
      <c r="O52" t="s">
        <v>49</v>
      </c>
      <c r="P52" t="s">
        <v>50</v>
      </c>
      <c r="Q52" t="s">
        <v>51</v>
      </c>
      <c r="R52" t="s">
        <v>51</v>
      </c>
      <c r="T52" t="s">
        <v>48</v>
      </c>
      <c r="U52">
        <v>8760</v>
      </c>
      <c r="V52">
        <v>2</v>
      </c>
      <c r="W52">
        <v>0.96266388893127441</v>
      </c>
      <c r="X52">
        <v>0.96265938780119498</v>
      </c>
      <c r="Y52">
        <v>0.94422882795333862</v>
      </c>
      <c r="Z52">
        <v>0.98109894990921021</v>
      </c>
      <c r="AA52">
        <f t="shared" si="0"/>
        <v>-0.24336342339485312</v>
      </c>
      <c r="AB52">
        <f t="shared" si="1"/>
        <v>-0.23999852802031152</v>
      </c>
    </row>
    <row r="53" spans="1:28" x14ac:dyDescent="0.3">
      <c r="A53" t="s">
        <v>3</v>
      </c>
      <c r="B53" t="s">
        <v>103</v>
      </c>
      <c r="C53" t="s">
        <v>47</v>
      </c>
      <c r="D53">
        <v>58.596750193814898</v>
      </c>
      <c r="E53">
        <v>72.75</v>
      </c>
      <c r="F53">
        <v>58.6</v>
      </c>
      <c r="G53">
        <v>67786.961695312508</v>
      </c>
      <c r="H53">
        <v>115280.16000000003</v>
      </c>
      <c r="I53">
        <v>93698.79999999961</v>
      </c>
      <c r="J53">
        <v>25911.838304687102</v>
      </c>
      <c r="K53">
        <v>47493.198304687525</v>
      </c>
      <c r="L53" t="s">
        <v>48</v>
      </c>
      <c r="M53">
        <v>8760</v>
      </c>
      <c r="N53">
        <v>99</v>
      </c>
      <c r="O53" t="s">
        <v>49</v>
      </c>
      <c r="P53" t="s">
        <v>50</v>
      </c>
      <c r="Q53" t="s">
        <v>51</v>
      </c>
      <c r="R53" t="s">
        <v>51</v>
      </c>
      <c r="T53" t="s">
        <v>48</v>
      </c>
      <c r="U53">
        <v>8760</v>
      </c>
      <c r="V53">
        <v>2</v>
      </c>
      <c r="W53">
        <v>0.99525880813598633</v>
      </c>
      <c r="X53">
        <v>0.99524466287215863</v>
      </c>
      <c r="Y53">
        <v>0.99131947755813599</v>
      </c>
      <c r="Z53">
        <v>0.99919813871383667</v>
      </c>
      <c r="AA53">
        <f t="shared" si="0"/>
        <v>0.38225401547210686</v>
      </c>
      <c r="AB53">
        <f t="shared" si="1"/>
        <v>0.7006243843492943</v>
      </c>
    </row>
    <row r="54" spans="1:28" x14ac:dyDescent="0.3">
      <c r="A54" t="s">
        <v>3</v>
      </c>
      <c r="B54" t="s">
        <v>104</v>
      </c>
      <c r="C54" t="s">
        <v>47</v>
      </c>
      <c r="D54">
        <v>119.07112961905189</v>
      </c>
      <c r="E54">
        <v>122.21</v>
      </c>
      <c r="F54">
        <v>119.05</v>
      </c>
      <c r="G54">
        <v>164543.36323437499</v>
      </c>
      <c r="H54">
        <v>193298.36000000031</v>
      </c>
      <c r="I54">
        <v>191564.84999999998</v>
      </c>
      <c r="J54">
        <v>27021.486765624984</v>
      </c>
      <c r="K54">
        <v>28754.996765625314</v>
      </c>
      <c r="L54" t="s">
        <v>48</v>
      </c>
      <c r="M54">
        <v>8760</v>
      </c>
      <c r="N54">
        <v>196</v>
      </c>
      <c r="O54" t="s">
        <v>49</v>
      </c>
      <c r="P54" t="s">
        <v>50</v>
      </c>
      <c r="Q54" t="s">
        <v>51</v>
      </c>
      <c r="R54" t="s">
        <v>51</v>
      </c>
      <c r="T54" t="s">
        <v>48</v>
      </c>
      <c r="U54">
        <v>8760</v>
      </c>
      <c r="V54">
        <v>2</v>
      </c>
      <c r="W54">
        <v>0.84326887130737305</v>
      </c>
      <c r="X54">
        <v>0.84378602588216511</v>
      </c>
      <c r="Y54">
        <v>0.69075173139572144</v>
      </c>
      <c r="Z54">
        <v>0.99578601121902466</v>
      </c>
      <c r="AA54">
        <f t="shared" si="0"/>
        <v>0.16422106753181939</v>
      </c>
      <c r="AB54">
        <f t="shared" si="1"/>
        <v>0.17475634507766075</v>
      </c>
    </row>
    <row r="55" spans="1:28" x14ac:dyDescent="0.3">
      <c r="A55" t="s">
        <v>3</v>
      </c>
      <c r="B55" t="s">
        <v>105</v>
      </c>
      <c r="C55" t="s">
        <v>47</v>
      </c>
      <c r="D55">
        <v>168.56033444445646</v>
      </c>
      <c r="E55">
        <v>183.59</v>
      </c>
      <c r="F55">
        <v>150.52000000000001</v>
      </c>
      <c r="G55">
        <v>342660.32071875001</v>
      </c>
      <c r="H55">
        <v>292551.79000000056</v>
      </c>
      <c r="I55">
        <v>242401.50999999957</v>
      </c>
      <c r="J55">
        <v>-100258.81071875044</v>
      </c>
      <c r="K55">
        <v>-50108.530718749447</v>
      </c>
      <c r="L55" t="s">
        <v>48</v>
      </c>
      <c r="M55">
        <v>8760</v>
      </c>
      <c r="N55">
        <v>276</v>
      </c>
      <c r="O55" t="s">
        <v>49</v>
      </c>
      <c r="P55" t="s">
        <v>50</v>
      </c>
      <c r="Q55" t="s">
        <v>51</v>
      </c>
      <c r="R55" t="s">
        <v>51</v>
      </c>
      <c r="T55" t="s">
        <v>48</v>
      </c>
      <c r="U55">
        <v>8760</v>
      </c>
      <c r="V55">
        <v>2</v>
      </c>
      <c r="W55">
        <v>0.9855310320854187</v>
      </c>
      <c r="X55">
        <v>0.98553140498103065</v>
      </c>
      <c r="Y55">
        <v>0.98305916786193848</v>
      </c>
      <c r="Z55">
        <v>0.98800289630889893</v>
      </c>
      <c r="AA55">
        <f t="shared" si="0"/>
        <v>-0.29258949652662358</v>
      </c>
      <c r="AB55">
        <f t="shared" si="1"/>
        <v>-0.14623382892318515</v>
      </c>
    </row>
    <row r="56" spans="1:28" x14ac:dyDescent="0.3">
      <c r="A56" t="s">
        <v>3</v>
      </c>
      <c r="B56" t="s">
        <v>106</v>
      </c>
      <c r="C56" t="s">
        <v>47</v>
      </c>
      <c r="D56">
        <v>56.743204455406456</v>
      </c>
      <c r="E56">
        <v>69.39</v>
      </c>
      <c r="F56">
        <v>56.74</v>
      </c>
      <c r="G56">
        <v>57873.222335937498</v>
      </c>
      <c r="H56">
        <v>112717.74999999975</v>
      </c>
      <c r="I56">
        <v>90683.040000000241</v>
      </c>
      <c r="J56">
        <v>32809.817664062743</v>
      </c>
      <c r="K56">
        <v>54844.527664062254</v>
      </c>
      <c r="L56" t="s">
        <v>48</v>
      </c>
      <c r="M56">
        <v>8760</v>
      </c>
      <c r="N56">
        <v>93</v>
      </c>
      <c r="O56" t="s">
        <v>49</v>
      </c>
      <c r="P56" t="s">
        <v>50</v>
      </c>
      <c r="Q56" t="s">
        <v>51</v>
      </c>
      <c r="R56" t="s">
        <v>51</v>
      </c>
      <c r="T56" t="s">
        <v>48</v>
      </c>
      <c r="U56">
        <v>8760</v>
      </c>
      <c r="V56">
        <v>2</v>
      </c>
      <c r="W56">
        <v>0.71420860290527344</v>
      </c>
      <c r="X56">
        <v>0.71476092654011147</v>
      </c>
      <c r="Y56">
        <v>0.43531006574630737</v>
      </c>
      <c r="Z56">
        <v>0.9931071400642395</v>
      </c>
      <c r="AA56">
        <f t="shared" si="0"/>
        <v>0.56692571002200531</v>
      </c>
      <c r="AB56">
        <f t="shared" si="1"/>
        <v>0.9476667351561221</v>
      </c>
    </row>
    <row r="57" spans="1:28" x14ac:dyDescent="0.3">
      <c r="A57" t="s">
        <v>3</v>
      </c>
      <c r="B57" t="s">
        <v>107</v>
      </c>
      <c r="C57" t="s">
        <v>47</v>
      </c>
      <c r="D57">
        <v>55.444514960964774</v>
      </c>
      <c r="E57">
        <v>55.44</v>
      </c>
      <c r="F57">
        <v>55.44</v>
      </c>
      <c r="G57">
        <v>52518.147117187502</v>
      </c>
      <c r="H57">
        <v>89310.139999999956</v>
      </c>
      <c r="I57">
        <v>89402.860000000335</v>
      </c>
      <c r="J57">
        <v>36884.712882812833</v>
      </c>
      <c r="K57">
        <v>36791.992882812454</v>
      </c>
      <c r="L57" t="s">
        <v>48</v>
      </c>
      <c r="M57">
        <v>8760</v>
      </c>
      <c r="N57">
        <v>91</v>
      </c>
      <c r="O57" t="s">
        <v>49</v>
      </c>
      <c r="P57" t="s">
        <v>50</v>
      </c>
      <c r="Q57" t="s">
        <v>51</v>
      </c>
      <c r="R57" t="s">
        <v>51</v>
      </c>
      <c r="T57" t="s">
        <v>48</v>
      </c>
      <c r="U57">
        <v>8760</v>
      </c>
      <c r="AA57">
        <f t="shared" si="0"/>
        <v>0.70232319507596741</v>
      </c>
      <c r="AB57">
        <f t="shared" si="1"/>
        <v>0.70055771009430023</v>
      </c>
    </row>
    <row r="58" spans="1:28" x14ac:dyDescent="0.3">
      <c r="A58" t="s">
        <v>3</v>
      </c>
      <c r="B58" t="s">
        <v>108</v>
      </c>
      <c r="C58" t="s">
        <v>47</v>
      </c>
      <c r="D58">
        <v>168.73242216071409</v>
      </c>
      <c r="E58">
        <v>261.93</v>
      </c>
      <c r="F58">
        <v>168.73</v>
      </c>
      <c r="G58">
        <v>267729.33189062501</v>
      </c>
      <c r="H58">
        <v>413404.01000000018</v>
      </c>
      <c r="I58">
        <v>270238.09000000008</v>
      </c>
      <c r="J58">
        <v>2508.7581093750778</v>
      </c>
      <c r="K58">
        <v>145674.67810937518</v>
      </c>
      <c r="L58" t="s">
        <v>48</v>
      </c>
      <c r="M58">
        <v>8760</v>
      </c>
      <c r="N58">
        <v>276</v>
      </c>
      <c r="O58" t="s">
        <v>49</v>
      </c>
      <c r="P58" t="s">
        <v>50</v>
      </c>
      <c r="Q58" t="s">
        <v>51</v>
      </c>
      <c r="R58" t="s">
        <v>51</v>
      </c>
      <c r="T58" t="s">
        <v>48</v>
      </c>
      <c r="U58">
        <v>8760</v>
      </c>
      <c r="V58">
        <v>2</v>
      </c>
      <c r="W58">
        <v>0.58038356900215149</v>
      </c>
      <c r="X58">
        <v>0.5803449371490812</v>
      </c>
      <c r="Y58">
        <v>0.45201843976974487</v>
      </c>
      <c r="Z58">
        <v>0.70874869823455811</v>
      </c>
      <c r="AA58">
        <f t="shared" si="0"/>
        <v>9.3705015123257997E-3</v>
      </c>
      <c r="AB58">
        <f t="shared" si="1"/>
        <v>0.54411176048834053</v>
      </c>
    </row>
    <row r="59" spans="1:28" x14ac:dyDescent="0.3">
      <c r="A59" t="s">
        <v>3</v>
      </c>
      <c r="B59" t="s">
        <v>109</v>
      </c>
      <c r="C59" t="s">
        <v>47</v>
      </c>
      <c r="D59">
        <v>168.60523585324364</v>
      </c>
      <c r="E59">
        <v>168.61</v>
      </c>
      <c r="F59">
        <v>168.61</v>
      </c>
      <c r="G59">
        <v>283567.41364843753</v>
      </c>
      <c r="H59">
        <v>271900.52000000043</v>
      </c>
      <c r="I59">
        <v>272032.35999999952</v>
      </c>
      <c r="J59">
        <v>-11535.053648438014</v>
      </c>
      <c r="K59">
        <v>-11666.893648437108</v>
      </c>
      <c r="L59" t="s">
        <v>48</v>
      </c>
      <c r="M59">
        <v>8760</v>
      </c>
      <c r="N59">
        <v>278</v>
      </c>
      <c r="O59" t="s">
        <v>49</v>
      </c>
      <c r="P59" t="s">
        <v>50</v>
      </c>
      <c r="Q59" t="s">
        <v>51</v>
      </c>
      <c r="R59" t="s">
        <v>51</v>
      </c>
      <c r="T59" t="s">
        <v>48</v>
      </c>
      <c r="U59">
        <v>8760</v>
      </c>
      <c r="AA59">
        <f t="shared" si="0"/>
        <v>-4.0678346993491266E-2</v>
      </c>
      <c r="AB59">
        <f t="shared" si="1"/>
        <v>-4.1143280528352741E-2</v>
      </c>
    </row>
    <row r="60" spans="1:28" x14ac:dyDescent="0.3">
      <c r="A60" t="s">
        <v>3</v>
      </c>
      <c r="B60" t="s">
        <v>110</v>
      </c>
      <c r="C60" t="s">
        <v>47</v>
      </c>
      <c r="D60">
        <v>111.88481571343161</v>
      </c>
      <c r="E60">
        <v>115.11</v>
      </c>
      <c r="F60">
        <v>111.85</v>
      </c>
      <c r="G60">
        <v>235455.58012500001</v>
      </c>
      <c r="H60">
        <v>181154.76000000018</v>
      </c>
      <c r="I60">
        <v>180168.88000000024</v>
      </c>
      <c r="J60">
        <v>-55286.70012499977</v>
      </c>
      <c r="K60">
        <v>-54300.820124999824</v>
      </c>
      <c r="L60" t="s">
        <v>48</v>
      </c>
      <c r="M60">
        <v>8760</v>
      </c>
      <c r="N60">
        <v>184</v>
      </c>
      <c r="O60" t="s">
        <v>49</v>
      </c>
      <c r="P60" t="s">
        <v>50</v>
      </c>
      <c r="Q60" t="s">
        <v>51</v>
      </c>
      <c r="R60" t="s">
        <v>51</v>
      </c>
      <c r="T60" t="s">
        <v>48</v>
      </c>
      <c r="U60">
        <v>8760</v>
      </c>
      <c r="V60">
        <v>2</v>
      </c>
      <c r="W60">
        <v>0.94486692547798157</v>
      </c>
      <c r="X60">
        <v>0.94486492075784689</v>
      </c>
      <c r="Y60">
        <v>0.89049714803695679</v>
      </c>
      <c r="Z60">
        <v>0.99923670291900635</v>
      </c>
      <c r="AA60">
        <f t="shared" si="0"/>
        <v>-0.23480734708282916</v>
      </c>
      <c r="AB60">
        <f t="shared" si="1"/>
        <v>-0.23062023034736442</v>
      </c>
    </row>
    <row r="61" spans="1:28" x14ac:dyDescent="0.3">
      <c r="A61" t="s">
        <v>3</v>
      </c>
      <c r="B61" t="s">
        <v>111</v>
      </c>
      <c r="C61" t="s">
        <v>47</v>
      </c>
      <c r="D61">
        <v>109.86903584095278</v>
      </c>
      <c r="E61">
        <v>110.86</v>
      </c>
      <c r="F61">
        <v>109.87</v>
      </c>
      <c r="G61">
        <v>251359.76537500002</v>
      </c>
      <c r="H61">
        <v>176948.43000000008</v>
      </c>
      <c r="I61">
        <v>177217.48</v>
      </c>
      <c r="J61">
        <v>-74142.285375000007</v>
      </c>
      <c r="K61">
        <v>-74411.335374999937</v>
      </c>
      <c r="L61" t="s">
        <v>48</v>
      </c>
      <c r="M61">
        <v>8760</v>
      </c>
      <c r="N61">
        <v>180</v>
      </c>
      <c r="O61" t="s">
        <v>49</v>
      </c>
      <c r="P61" t="s">
        <v>50</v>
      </c>
      <c r="Q61" t="s">
        <v>51</v>
      </c>
      <c r="R61" t="s">
        <v>51</v>
      </c>
      <c r="T61" t="s">
        <v>48</v>
      </c>
      <c r="U61">
        <v>8760</v>
      </c>
      <c r="V61">
        <v>2</v>
      </c>
      <c r="W61">
        <v>0.96686393022537231</v>
      </c>
      <c r="X61">
        <v>0.96686051528852457</v>
      </c>
      <c r="Y61">
        <v>0.95466989278793335</v>
      </c>
      <c r="Z61">
        <v>0.97905796766281128</v>
      </c>
      <c r="AA61">
        <f t="shared" si="0"/>
        <v>-0.29496480975938294</v>
      </c>
      <c r="AB61">
        <f t="shared" si="1"/>
        <v>-0.29603518790681055</v>
      </c>
    </row>
    <row r="62" spans="1:28" x14ac:dyDescent="0.3">
      <c r="A62" t="s">
        <v>3</v>
      </c>
      <c r="B62" t="s">
        <v>112</v>
      </c>
      <c r="C62" t="s">
        <v>47</v>
      </c>
      <c r="D62">
        <v>451.45621247731231</v>
      </c>
      <c r="E62">
        <v>453.06</v>
      </c>
      <c r="F62">
        <v>451.46</v>
      </c>
      <c r="G62">
        <v>831375.41340625007</v>
      </c>
      <c r="H62">
        <v>731803.50999999803</v>
      </c>
      <c r="I62">
        <v>730107.38999999827</v>
      </c>
      <c r="J62">
        <v>-101268.0234062518</v>
      </c>
      <c r="K62">
        <v>-99571.903406252037</v>
      </c>
      <c r="L62" t="s">
        <v>48</v>
      </c>
      <c r="M62">
        <v>8760</v>
      </c>
      <c r="N62">
        <v>744</v>
      </c>
      <c r="O62" t="s">
        <v>49</v>
      </c>
      <c r="P62" t="s">
        <v>50</v>
      </c>
      <c r="Q62" t="s">
        <v>51</v>
      </c>
      <c r="R62" t="s">
        <v>51</v>
      </c>
      <c r="T62" t="s">
        <v>48</v>
      </c>
      <c r="U62">
        <v>8760</v>
      </c>
      <c r="V62">
        <v>1</v>
      </c>
      <c r="W62">
        <v>0.96910399198532104</v>
      </c>
      <c r="X62">
        <v>0.96910399198532104</v>
      </c>
      <c r="Y62">
        <v>0.96910399198532104</v>
      </c>
      <c r="Z62">
        <v>0.96910399198532104</v>
      </c>
      <c r="AA62">
        <f t="shared" si="0"/>
        <v>-0.12180781602783262</v>
      </c>
      <c r="AB62">
        <f t="shared" si="1"/>
        <v>-0.11976767871723963</v>
      </c>
    </row>
    <row r="63" spans="1:28" x14ac:dyDescent="0.3">
      <c r="A63" t="s">
        <v>3</v>
      </c>
      <c r="B63" t="s">
        <v>113</v>
      </c>
      <c r="C63" t="s">
        <v>47</v>
      </c>
      <c r="D63">
        <v>509.81869539378317</v>
      </c>
      <c r="E63">
        <v>509.71</v>
      </c>
      <c r="F63">
        <v>509.71</v>
      </c>
      <c r="G63">
        <v>1115532.4062187499</v>
      </c>
      <c r="H63">
        <v>823621.92999999935</v>
      </c>
      <c r="I63">
        <v>824519.20000000077</v>
      </c>
      <c r="J63">
        <v>-291013.20621874917</v>
      </c>
      <c r="K63">
        <v>-291910.47621875058</v>
      </c>
      <c r="L63" t="s">
        <v>48</v>
      </c>
      <c r="M63">
        <v>8760</v>
      </c>
      <c r="N63">
        <v>841</v>
      </c>
      <c r="O63" t="s">
        <v>49</v>
      </c>
      <c r="P63" t="s">
        <v>50</v>
      </c>
      <c r="Q63" t="s">
        <v>51</v>
      </c>
      <c r="R63" t="s">
        <v>51</v>
      </c>
      <c r="T63" t="s">
        <v>48</v>
      </c>
      <c r="U63">
        <v>8760</v>
      </c>
      <c r="AA63">
        <f t="shared" si="0"/>
        <v>-0.26087382544553622</v>
      </c>
      <c r="AB63">
        <f t="shared" si="1"/>
        <v>-0.26167816783397729</v>
      </c>
    </row>
    <row r="64" spans="1:28" x14ac:dyDescent="0.3">
      <c r="A64" t="s">
        <v>3</v>
      </c>
      <c r="B64" t="s">
        <v>114</v>
      </c>
      <c r="C64" t="s">
        <v>47</v>
      </c>
      <c r="D64">
        <v>499.23426278892276</v>
      </c>
      <c r="E64">
        <v>500.08</v>
      </c>
      <c r="F64">
        <v>500.08</v>
      </c>
      <c r="G64">
        <v>1056202.9043437501</v>
      </c>
      <c r="H64">
        <v>805096.37000000011</v>
      </c>
      <c r="I64">
        <v>804082.12999999779</v>
      </c>
      <c r="J64">
        <v>-252120.7743437523</v>
      </c>
      <c r="K64">
        <v>-251106.53434374998</v>
      </c>
      <c r="L64" t="s">
        <v>48</v>
      </c>
      <c r="M64">
        <v>8760</v>
      </c>
      <c r="N64">
        <v>824</v>
      </c>
      <c r="O64" t="s">
        <v>49</v>
      </c>
      <c r="P64" t="s">
        <v>50</v>
      </c>
      <c r="Q64" t="s">
        <v>51</v>
      </c>
      <c r="R64" t="s">
        <v>51</v>
      </c>
      <c r="T64" t="s">
        <v>48</v>
      </c>
      <c r="U64">
        <v>8760</v>
      </c>
      <c r="AA64">
        <f t="shared" si="0"/>
        <v>-0.2387048675087694</v>
      </c>
      <c r="AB64">
        <f t="shared" si="1"/>
        <v>-0.23774459747369267</v>
      </c>
    </row>
    <row r="65" spans="1:28" x14ac:dyDescent="0.3">
      <c r="A65" t="s">
        <v>3</v>
      </c>
      <c r="B65" t="s">
        <v>115</v>
      </c>
      <c r="C65" t="s">
        <v>47</v>
      </c>
      <c r="D65">
        <v>471.05004490898853</v>
      </c>
      <c r="E65">
        <v>471.05</v>
      </c>
      <c r="F65">
        <v>471.05</v>
      </c>
      <c r="G65">
        <v>1043132.6328125</v>
      </c>
      <c r="H65">
        <v>754393.33999999927</v>
      </c>
      <c r="I65">
        <v>754134.04999999958</v>
      </c>
      <c r="J65">
        <v>-288998.58281250042</v>
      </c>
      <c r="K65">
        <v>-288739.29281250073</v>
      </c>
      <c r="L65" t="s">
        <v>48</v>
      </c>
      <c r="M65">
        <v>8760</v>
      </c>
      <c r="N65">
        <v>778</v>
      </c>
      <c r="O65" t="s">
        <v>49</v>
      </c>
      <c r="P65" t="s">
        <v>50</v>
      </c>
      <c r="Q65" t="s">
        <v>51</v>
      </c>
      <c r="R65" t="s">
        <v>51</v>
      </c>
      <c r="T65" t="s">
        <v>48</v>
      </c>
      <c r="U65">
        <v>8760</v>
      </c>
      <c r="AA65">
        <f t="shared" si="0"/>
        <v>-0.27704874118768658</v>
      </c>
      <c r="AB65">
        <f t="shared" si="1"/>
        <v>-0.27680017260508882</v>
      </c>
    </row>
    <row r="66" spans="1:28" x14ac:dyDescent="0.3">
      <c r="A66" t="s">
        <v>3</v>
      </c>
      <c r="B66" t="s">
        <v>116</v>
      </c>
      <c r="C66" t="s">
        <v>47</v>
      </c>
      <c r="D66">
        <v>828.15985787755722</v>
      </c>
      <c r="E66">
        <v>828.16</v>
      </c>
      <c r="F66">
        <v>828.16</v>
      </c>
      <c r="G66">
        <v>2256728.2558750003</v>
      </c>
      <c r="H66">
        <v>1265034.9400000004</v>
      </c>
      <c r="I66">
        <v>1263624.0500000047</v>
      </c>
      <c r="J66">
        <v>-993104.20587499556</v>
      </c>
      <c r="K66">
        <v>-991693.31587499985</v>
      </c>
      <c r="L66" t="s">
        <v>48</v>
      </c>
      <c r="M66">
        <v>8760</v>
      </c>
      <c r="N66">
        <v>1367</v>
      </c>
      <c r="O66" t="s">
        <v>49</v>
      </c>
      <c r="P66" t="s">
        <v>50</v>
      </c>
      <c r="Q66" t="s">
        <v>51</v>
      </c>
      <c r="R66" t="s">
        <v>51</v>
      </c>
      <c r="T66" t="s">
        <v>48</v>
      </c>
      <c r="U66">
        <v>8760</v>
      </c>
      <c r="AA66">
        <f t="shared" ref="AA66:AA72" si="2">(I66-G66)/G66</f>
        <v>-0.44006370872949419</v>
      </c>
      <c r="AB66">
        <f t="shared" ref="AB66:AB72" si="3">(H66-G66)/G66</f>
        <v>-0.4394385160434352</v>
      </c>
    </row>
    <row r="67" spans="1:28" x14ac:dyDescent="0.3">
      <c r="A67" t="s">
        <v>3</v>
      </c>
      <c r="B67" t="s">
        <v>117</v>
      </c>
      <c r="C67" t="s">
        <v>47</v>
      </c>
      <c r="D67">
        <v>703.53132948884092</v>
      </c>
      <c r="E67">
        <v>712.3</v>
      </c>
      <c r="F67">
        <v>712.3</v>
      </c>
      <c r="G67">
        <v>1909926.7432500001</v>
      </c>
      <c r="H67">
        <v>1147119.5500000005</v>
      </c>
      <c r="I67">
        <v>1147798.5900000031</v>
      </c>
      <c r="J67">
        <v>-762128.15324999695</v>
      </c>
      <c r="K67">
        <v>-762807.19324999955</v>
      </c>
      <c r="L67" t="s">
        <v>48</v>
      </c>
      <c r="M67">
        <v>8760</v>
      </c>
      <c r="N67">
        <v>1162</v>
      </c>
      <c r="O67" t="s">
        <v>49</v>
      </c>
      <c r="P67" t="s">
        <v>50</v>
      </c>
      <c r="Q67" t="s">
        <v>51</v>
      </c>
      <c r="R67" t="s">
        <v>51</v>
      </c>
      <c r="T67" t="s">
        <v>48</v>
      </c>
      <c r="U67">
        <v>8760</v>
      </c>
      <c r="AA67">
        <f t="shared" si="2"/>
        <v>-0.3990352802501379</v>
      </c>
      <c r="AB67">
        <f t="shared" si="3"/>
        <v>-0.39939081221093298</v>
      </c>
    </row>
    <row r="68" spans="1:28" x14ac:dyDescent="0.3">
      <c r="A68" t="s">
        <v>3</v>
      </c>
      <c r="B68" t="s">
        <v>118</v>
      </c>
      <c r="C68" t="s">
        <v>47</v>
      </c>
      <c r="D68">
        <v>15.575723734124185</v>
      </c>
      <c r="E68">
        <v>15.58</v>
      </c>
      <c r="F68">
        <v>15.58</v>
      </c>
      <c r="G68">
        <v>36320.829624999998</v>
      </c>
      <c r="H68">
        <v>24786.279999999988</v>
      </c>
      <c r="I68">
        <v>24854.319999999985</v>
      </c>
      <c r="J68">
        <v>-11466.509625000013</v>
      </c>
      <c r="K68">
        <v>-11534.549625000011</v>
      </c>
      <c r="L68" t="s">
        <v>48</v>
      </c>
      <c r="M68">
        <v>8760</v>
      </c>
      <c r="N68">
        <v>26</v>
      </c>
      <c r="O68" t="s">
        <v>49</v>
      </c>
      <c r="P68" t="s">
        <v>50</v>
      </c>
      <c r="Q68" t="s">
        <v>51</v>
      </c>
      <c r="R68" t="s">
        <v>51</v>
      </c>
      <c r="T68" t="s">
        <v>48</v>
      </c>
      <c r="U68">
        <v>8760</v>
      </c>
      <c r="AA68">
        <f t="shared" si="2"/>
        <v>-0.31570065285919291</v>
      </c>
      <c r="AB68">
        <f t="shared" si="3"/>
        <v>-0.31757395808659233</v>
      </c>
    </row>
    <row r="69" spans="1:28" x14ac:dyDescent="0.3">
      <c r="A69" t="s">
        <v>3</v>
      </c>
      <c r="B69" t="s">
        <v>119</v>
      </c>
      <c r="C69" t="s">
        <v>47</v>
      </c>
      <c r="D69">
        <v>10.045666343431867</v>
      </c>
      <c r="E69">
        <v>10.050000000000001</v>
      </c>
      <c r="F69">
        <v>10.050000000000001</v>
      </c>
      <c r="G69">
        <v>20000.4769375</v>
      </c>
      <c r="H69">
        <v>15970.450000000006</v>
      </c>
      <c r="I69">
        <v>15998.780000000041</v>
      </c>
      <c r="J69">
        <v>-4001.6969374999589</v>
      </c>
      <c r="K69">
        <v>-4030.0269374999934</v>
      </c>
      <c r="L69" t="s">
        <v>48</v>
      </c>
      <c r="M69">
        <v>8760</v>
      </c>
      <c r="N69">
        <v>18</v>
      </c>
      <c r="O69" t="s">
        <v>49</v>
      </c>
      <c r="P69" t="s">
        <v>50</v>
      </c>
      <c r="Q69" t="s">
        <v>51</v>
      </c>
      <c r="R69" t="s">
        <v>51</v>
      </c>
      <c r="T69" t="s">
        <v>48</v>
      </c>
      <c r="U69">
        <v>8760</v>
      </c>
      <c r="AA69">
        <f t="shared" si="2"/>
        <v>-0.20008007559044536</v>
      </c>
      <c r="AB69">
        <f t="shared" si="3"/>
        <v>-0.20149654181215415</v>
      </c>
    </row>
    <row r="70" spans="1:28" x14ac:dyDescent="0.3">
      <c r="A70" t="s">
        <v>3</v>
      </c>
      <c r="B70" t="s">
        <v>120</v>
      </c>
      <c r="C70" t="s">
        <v>47</v>
      </c>
      <c r="D70">
        <v>493.17291285129397</v>
      </c>
      <c r="E70">
        <v>493.17</v>
      </c>
      <c r="F70">
        <v>493.17</v>
      </c>
      <c r="G70">
        <v>975541.64910937496</v>
      </c>
      <c r="H70">
        <v>790722.86999999988</v>
      </c>
      <c r="I70">
        <v>791022.41000000108</v>
      </c>
      <c r="J70">
        <v>-184519.23910937388</v>
      </c>
      <c r="K70">
        <v>-184818.77910937509</v>
      </c>
      <c r="L70" t="s">
        <v>48</v>
      </c>
      <c r="M70">
        <v>8760</v>
      </c>
      <c r="N70">
        <v>813</v>
      </c>
      <c r="O70" t="s">
        <v>49</v>
      </c>
      <c r="P70" t="s">
        <v>50</v>
      </c>
      <c r="Q70" t="s">
        <v>51</v>
      </c>
      <c r="R70" t="s">
        <v>51</v>
      </c>
      <c r="T70" t="s">
        <v>48</v>
      </c>
      <c r="U70">
        <v>8760</v>
      </c>
      <c r="AA70">
        <f t="shared" si="2"/>
        <v>-0.1891454242654135</v>
      </c>
      <c r="AB70">
        <f t="shared" si="3"/>
        <v>-0.18945247420046721</v>
      </c>
    </row>
    <row r="71" spans="1:28" x14ac:dyDescent="0.3">
      <c r="A71" t="s">
        <v>3</v>
      </c>
      <c r="B71" t="s">
        <v>121</v>
      </c>
      <c r="C71" t="s">
        <v>47</v>
      </c>
      <c r="D71">
        <v>68.066946844777732</v>
      </c>
      <c r="E71">
        <v>66.069999999999993</v>
      </c>
      <c r="F71">
        <v>66.069999999999993</v>
      </c>
      <c r="G71">
        <v>130285.482875</v>
      </c>
      <c r="H71">
        <v>106667.09000000003</v>
      </c>
      <c r="I71">
        <v>106705.20000000013</v>
      </c>
      <c r="J71">
        <v>-23580.282874999873</v>
      </c>
      <c r="K71">
        <v>-23618.392874999976</v>
      </c>
      <c r="L71" t="s">
        <v>48</v>
      </c>
      <c r="M71">
        <v>8760</v>
      </c>
      <c r="N71">
        <v>113</v>
      </c>
      <c r="O71" t="s">
        <v>49</v>
      </c>
      <c r="P71" t="s">
        <v>50</v>
      </c>
      <c r="Q71" t="s">
        <v>51</v>
      </c>
      <c r="R71" t="s">
        <v>51</v>
      </c>
      <c r="T71" t="s">
        <v>48</v>
      </c>
      <c r="U71">
        <v>8760</v>
      </c>
      <c r="AA71">
        <f t="shared" si="2"/>
        <v>-0.18098933476436158</v>
      </c>
      <c r="AB71">
        <f t="shared" si="3"/>
        <v>-0.18128184624882732</v>
      </c>
    </row>
    <row r="72" spans="1:28" x14ac:dyDescent="0.3">
      <c r="A72" t="s">
        <v>3</v>
      </c>
      <c r="B72" t="s">
        <v>122</v>
      </c>
      <c r="C72" t="s">
        <v>47</v>
      </c>
      <c r="D72">
        <v>31.893622505005403</v>
      </c>
      <c r="E72">
        <v>31.91</v>
      </c>
      <c r="F72">
        <v>31.91</v>
      </c>
      <c r="G72">
        <v>42033.007125000004</v>
      </c>
      <c r="H72">
        <v>51677.90000000006</v>
      </c>
      <c r="I72">
        <v>51684.949999999953</v>
      </c>
      <c r="J72">
        <v>9651.9428749999497</v>
      </c>
      <c r="K72">
        <v>9644.8928750000559</v>
      </c>
      <c r="L72" t="s">
        <v>48</v>
      </c>
      <c r="M72">
        <v>8760</v>
      </c>
      <c r="N72">
        <v>50</v>
      </c>
      <c r="O72" t="s">
        <v>49</v>
      </c>
      <c r="P72" t="s">
        <v>50</v>
      </c>
      <c r="Q72" t="s">
        <v>51</v>
      </c>
      <c r="R72" t="s">
        <v>51</v>
      </c>
      <c r="T72" t="s">
        <v>48</v>
      </c>
      <c r="U72">
        <v>8760</v>
      </c>
      <c r="AA72">
        <f t="shared" si="2"/>
        <v>0.22962770296915674</v>
      </c>
      <c r="AB72">
        <f t="shared" si="3"/>
        <v>0.22945997763894355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4.4" x14ac:dyDescent="0.3"/>
  <sheetData>
    <row r="1" spans="1:26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21</v>
      </c>
      <c r="C1" t="s">
        <v>24</v>
      </c>
      <c r="D1" t="s">
        <v>27</v>
      </c>
      <c r="E1" t="s">
        <v>25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3</v>
      </c>
      <c r="B2" t="s">
        <v>123</v>
      </c>
      <c r="C2">
        <v>6850.44</v>
      </c>
      <c r="D2">
        <v>10961652.96000001</v>
      </c>
      <c r="E2">
        <v>6850.44</v>
      </c>
      <c r="F2">
        <v>10965002.000000032</v>
      </c>
      <c r="I2" t="s">
        <v>48</v>
      </c>
      <c r="J2">
        <v>8760</v>
      </c>
      <c r="K2" t="s">
        <v>48</v>
      </c>
      <c r="L2">
        <v>8760</v>
      </c>
    </row>
    <row r="3" spans="1:17" x14ac:dyDescent="0.3">
      <c r="A3" t="s">
        <v>3</v>
      </c>
      <c r="B3" t="s">
        <v>124</v>
      </c>
      <c r="C3">
        <v>2906.82</v>
      </c>
      <c r="D3">
        <v>4702637.0799999954</v>
      </c>
      <c r="E3">
        <v>2906.82</v>
      </c>
      <c r="F3">
        <v>4704415.9300000072</v>
      </c>
      <c r="I3" t="s">
        <v>48</v>
      </c>
      <c r="J3">
        <v>8760</v>
      </c>
      <c r="K3" t="s">
        <v>48</v>
      </c>
      <c r="L3">
        <v>8760</v>
      </c>
    </row>
    <row r="4" spans="1:17" x14ac:dyDescent="0.3">
      <c r="A4" t="s">
        <v>3</v>
      </c>
      <c r="B4" t="s">
        <v>125</v>
      </c>
      <c r="C4">
        <v>3104.91</v>
      </c>
      <c r="D4">
        <v>5006093.8899999848</v>
      </c>
      <c r="E4">
        <v>3104.91</v>
      </c>
      <c r="F4">
        <v>5005239.3599999854</v>
      </c>
      <c r="I4" t="s">
        <v>48</v>
      </c>
      <c r="J4">
        <v>8760</v>
      </c>
      <c r="K4" t="s">
        <v>48</v>
      </c>
      <c r="L4">
        <v>8760</v>
      </c>
    </row>
    <row r="5" spans="1:17" x14ac:dyDescent="0.3">
      <c r="A5" t="s">
        <v>3</v>
      </c>
      <c r="B5" t="s">
        <v>126</v>
      </c>
      <c r="C5">
        <v>930.44</v>
      </c>
      <c r="D5">
        <v>1477440.4099999936</v>
      </c>
      <c r="E5">
        <v>930.44</v>
      </c>
      <c r="F5">
        <v>1477244.2899999975</v>
      </c>
      <c r="I5" t="s">
        <v>48</v>
      </c>
      <c r="J5">
        <v>8760</v>
      </c>
      <c r="K5" t="s">
        <v>48</v>
      </c>
      <c r="L5">
        <v>8760</v>
      </c>
    </row>
    <row r="6" spans="1:17" x14ac:dyDescent="0.3">
      <c r="A6" t="s">
        <v>3</v>
      </c>
      <c r="B6" t="s">
        <v>127</v>
      </c>
      <c r="C6">
        <v>873.88</v>
      </c>
      <c r="D6">
        <v>1394230.5199999916</v>
      </c>
      <c r="E6">
        <v>866.55</v>
      </c>
      <c r="F6">
        <v>1377973.0300000003</v>
      </c>
      <c r="I6" t="s">
        <v>48</v>
      </c>
      <c r="J6">
        <v>8760</v>
      </c>
      <c r="K6" t="s">
        <v>48</v>
      </c>
      <c r="L6">
        <v>8760</v>
      </c>
      <c r="M6">
        <v>2</v>
      </c>
      <c r="N6">
        <v>0.65198519825935364</v>
      </c>
      <c r="O6">
        <v>0.65123487911545752</v>
      </c>
      <c r="P6">
        <v>0.54868894815444946</v>
      </c>
      <c r="Q6">
        <v>0.75528144836425781</v>
      </c>
    </row>
    <row r="7" spans="1:17" x14ac:dyDescent="0.3">
      <c r="A7" t="s">
        <v>3</v>
      </c>
      <c r="B7" t="s">
        <v>128</v>
      </c>
      <c r="C7">
        <v>876.17</v>
      </c>
      <c r="D7">
        <v>1333652.9599999972</v>
      </c>
      <c r="E7">
        <v>872.61</v>
      </c>
      <c r="F7">
        <v>1324113.2799999968</v>
      </c>
      <c r="I7" t="s">
        <v>48</v>
      </c>
      <c r="J7">
        <v>8760</v>
      </c>
      <c r="K7" t="s">
        <v>48</v>
      </c>
      <c r="L7">
        <v>8760</v>
      </c>
      <c r="M7">
        <v>2</v>
      </c>
      <c r="N7">
        <v>0.69659394025802612</v>
      </c>
      <c r="O7">
        <v>0.69638101027545685</v>
      </c>
      <c r="P7">
        <v>0.63175427913665771</v>
      </c>
      <c r="Q7">
        <v>0.76143360137939453</v>
      </c>
    </row>
    <row r="8" spans="1:17" x14ac:dyDescent="0.3">
      <c r="A8" t="s">
        <v>3</v>
      </c>
      <c r="B8" t="s">
        <v>129</v>
      </c>
      <c r="C8">
        <v>2943.28</v>
      </c>
      <c r="D8">
        <v>4762766</v>
      </c>
      <c r="E8">
        <v>2943.28</v>
      </c>
      <c r="F8">
        <v>4763740.4399999995</v>
      </c>
      <c r="I8" t="s">
        <v>48</v>
      </c>
      <c r="J8">
        <v>8760</v>
      </c>
      <c r="K8" t="s">
        <v>48</v>
      </c>
      <c r="L8">
        <v>8760</v>
      </c>
    </row>
    <row r="9" spans="1:17" x14ac:dyDescent="0.3">
      <c r="A9" t="s">
        <v>3</v>
      </c>
      <c r="B9" t="s">
        <v>130</v>
      </c>
      <c r="C9">
        <v>970.93</v>
      </c>
      <c r="D9">
        <v>1097475.6700000013</v>
      </c>
      <c r="E9">
        <v>970.93</v>
      </c>
      <c r="F9">
        <v>1099064.0999999996</v>
      </c>
      <c r="I9" t="s">
        <v>48</v>
      </c>
      <c r="J9">
        <v>8760</v>
      </c>
      <c r="K9" t="s">
        <v>48</v>
      </c>
      <c r="L9">
        <v>8760</v>
      </c>
    </row>
    <row r="10" spans="1:17" x14ac:dyDescent="0.3">
      <c r="A10" t="s">
        <v>3</v>
      </c>
      <c r="B10" t="s">
        <v>131</v>
      </c>
      <c r="C10">
        <v>272.61</v>
      </c>
      <c r="D10">
        <v>440376.85999999969</v>
      </c>
      <c r="E10">
        <v>272.61</v>
      </c>
      <c r="F10">
        <v>440195.63000000006</v>
      </c>
      <c r="I10" t="s">
        <v>48</v>
      </c>
      <c r="J10">
        <v>8760</v>
      </c>
      <c r="K10" t="s">
        <v>48</v>
      </c>
      <c r="L10">
        <v>8760</v>
      </c>
    </row>
    <row r="11" spans="1:17" x14ac:dyDescent="0.3">
      <c r="A11" t="s">
        <v>3</v>
      </c>
      <c r="B11" t="s">
        <v>132</v>
      </c>
      <c r="C11">
        <v>118.42</v>
      </c>
      <c r="D11">
        <v>200648.88999999998</v>
      </c>
      <c r="E11">
        <v>110.34</v>
      </c>
      <c r="F11">
        <v>170984.07999999961</v>
      </c>
      <c r="I11" t="s">
        <v>48</v>
      </c>
      <c r="J11">
        <v>8760</v>
      </c>
      <c r="K11" t="s">
        <v>48</v>
      </c>
      <c r="L11">
        <v>8760</v>
      </c>
      <c r="M11">
        <v>2</v>
      </c>
      <c r="N11">
        <v>0.65532574057579041</v>
      </c>
      <c r="O11">
        <v>0.65539291888552587</v>
      </c>
      <c r="P11">
        <v>0.5647161602973938</v>
      </c>
      <c r="Q11">
        <v>0.74593532085418701</v>
      </c>
    </row>
    <row r="12" spans="1:17" x14ac:dyDescent="0.3">
      <c r="A12" t="s">
        <v>3</v>
      </c>
      <c r="B12" t="s">
        <v>133</v>
      </c>
      <c r="C12">
        <v>220.9</v>
      </c>
      <c r="D12">
        <v>336603.9000000002</v>
      </c>
      <c r="E12">
        <v>214.57</v>
      </c>
      <c r="F12">
        <v>344981.07000000082</v>
      </c>
      <c r="I12" t="s">
        <v>48</v>
      </c>
      <c r="J12">
        <v>8760</v>
      </c>
      <c r="K12" t="s">
        <v>48</v>
      </c>
      <c r="L12">
        <v>8760</v>
      </c>
      <c r="M12">
        <v>3</v>
      </c>
      <c r="N12">
        <v>0.80988512436548865</v>
      </c>
      <c r="O12">
        <v>0.74032113136049371</v>
      </c>
      <c r="P12">
        <v>0.52941763401031494</v>
      </c>
      <c r="Q12">
        <v>0.99277579784393311</v>
      </c>
    </row>
    <row r="13" spans="1:17" x14ac:dyDescent="0.3">
      <c r="A13" t="s">
        <v>3</v>
      </c>
      <c r="B13" t="s">
        <v>134</v>
      </c>
      <c r="C13">
        <v>2610.3200000000002</v>
      </c>
      <c r="D13">
        <v>4069704.3199999994</v>
      </c>
      <c r="E13">
        <v>2610.3200000000002</v>
      </c>
      <c r="F13">
        <v>4075898.8800000018</v>
      </c>
      <c r="I13" t="s">
        <v>48</v>
      </c>
      <c r="J13">
        <v>8760</v>
      </c>
      <c r="K13" t="s">
        <v>48</v>
      </c>
      <c r="L13">
        <v>8760</v>
      </c>
    </row>
    <row r="14" spans="1:17" x14ac:dyDescent="0.3">
      <c r="A14" t="s">
        <v>3</v>
      </c>
      <c r="B14" t="s">
        <v>135</v>
      </c>
      <c r="C14">
        <v>4092.56</v>
      </c>
      <c r="D14">
        <v>4266567.2299999921</v>
      </c>
      <c r="E14">
        <v>4092.56</v>
      </c>
      <c r="F14">
        <v>4281392.4799999967</v>
      </c>
      <c r="I14" t="s">
        <v>48</v>
      </c>
      <c r="J14">
        <v>8760</v>
      </c>
      <c r="K14" t="s">
        <v>48</v>
      </c>
      <c r="L14">
        <v>8760</v>
      </c>
    </row>
    <row r="15" spans="1:17" x14ac:dyDescent="0.3">
      <c r="A15" t="s">
        <v>3</v>
      </c>
      <c r="B15" t="s">
        <v>136</v>
      </c>
      <c r="C15">
        <v>275.64999999999998</v>
      </c>
      <c r="D15">
        <v>424439.42999999918</v>
      </c>
      <c r="E15">
        <v>275.64999999999998</v>
      </c>
      <c r="F15">
        <v>424043.3599999994</v>
      </c>
      <c r="I15" t="s">
        <v>48</v>
      </c>
      <c r="J15">
        <v>8760</v>
      </c>
      <c r="K15" t="s">
        <v>48</v>
      </c>
      <c r="L15">
        <v>8760</v>
      </c>
    </row>
    <row r="16" spans="1:17" x14ac:dyDescent="0.3">
      <c r="A16" t="s">
        <v>3</v>
      </c>
      <c r="B16" t="s">
        <v>137</v>
      </c>
      <c r="C16">
        <v>1505.95</v>
      </c>
      <c r="D16">
        <v>2431548.340000005</v>
      </c>
      <c r="E16">
        <v>1505.95</v>
      </c>
      <c r="F16">
        <v>2430774.3600000055</v>
      </c>
      <c r="I16" t="s">
        <v>48</v>
      </c>
      <c r="J16">
        <v>8760</v>
      </c>
      <c r="K16" t="s">
        <v>48</v>
      </c>
      <c r="L16">
        <v>8760</v>
      </c>
    </row>
    <row r="17" spans="1:17" x14ac:dyDescent="0.3">
      <c r="A17" t="s">
        <v>3</v>
      </c>
      <c r="B17" t="s">
        <v>138</v>
      </c>
      <c r="C17">
        <v>170.72</v>
      </c>
      <c r="D17">
        <v>262125.30000000045</v>
      </c>
      <c r="E17">
        <v>167.51</v>
      </c>
      <c r="F17">
        <v>259209.0099999994</v>
      </c>
      <c r="I17" t="s">
        <v>48</v>
      </c>
      <c r="J17">
        <v>8760</v>
      </c>
      <c r="K17" t="s">
        <v>48</v>
      </c>
      <c r="L17">
        <v>8760</v>
      </c>
      <c r="M17">
        <v>2</v>
      </c>
      <c r="N17">
        <v>0.98149603605270386</v>
      </c>
      <c r="O17">
        <v>0.98152833118601668</v>
      </c>
      <c r="P17">
        <v>0.96610915660858154</v>
      </c>
      <c r="Q17">
        <v>0.99688291549682617</v>
      </c>
    </row>
    <row r="18" spans="1:17" x14ac:dyDescent="0.3">
      <c r="A18" t="s">
        <v>3</v>
      </c>
      <c r="B18" t="s">
        <v>139</v>
      </c>
      <c r="C18">
        <v>809.61</v>
      </c>
      <c r="D18">
        <v>1233442.319999997</v>
      </c>
      <c r="E18">
        <v>793.68</v>
      </c>
      <c r="F18">
        <v>1124284.56</v>
      </c>
      <c r="I18" t="s">
        <v>48</v>
      </c>
      <c r="J18">
        <v>8760</v>
      </c>
      <c r="K18" t="s">
        <v>48</v>
      </c>
      <c r="L18">
        <v>8760</v>
      </c>
      <c r="M18">
        <v>2</v>
      </c>
      <c r="N18">
        <v>0.57398799061775208</v>
      </c>
      <c r="O18">
        <v>0.5739654788123475</v>
      </c>
      <c r="P18">
        <v>0.55843764543533325</v>
      </c>
      <c r="Q18">
        <v>0.5895383358001709</v>
      </c>
    </row>
    <row r="19" spans="1:17" x14ac:dyDescent="0.3">
      <c r="A19" t="s">
        <v>3</v>
      </c>
      <c r="B19" t="s">
        <v>140</v>
      </c>
      <c r="C19">
        <v>472.49</v>
      </c>
      <c r="D19">
        <v>675050.39000000036</v>
      </c>
      <c r="E19">
        <v>459.9</v>
      </c>
      <c r="F19">
        <v>692277.58000000042</v>
      </c>
      <c r="I19" t="s">
        <v>48</v>
      </c>
      <c r="J19">
        <v>8760</v>
      </c>
      <c r="K19" t="s">
        <v>48</v>
      </c>
      <c r="L19">
        <v>8760</v>
      </c>
      <c r="M19">
        <v>3</v>
      </c>
      <c r="N19">
        <v>0.5485995511213938</v>
      </c>
      <c r="O19">
        <v>0.57327508945117633</v>
      </c>
      <c r="P19">
        <v>0.49337705969810486</v>
      </c>
      <c r="Q19">
        <v>0.64738190174102783</v>
      </c>
    </row>
    <row r="20" spans="1:17" x14ac:dyDescent="0.3">
      <c r="A20" t="s">
        <v>3</v>
      </c>
      <c r="B20" t="s">
        <v>141</v>
      </c>
      <c r="C20">
        <v>738.25</v>
      </c>
      <c r="D20">
        <v>825270.95000000333</v>
      </c>
      <c r="E20">
        <v>738.25</v>
      </c>
      <c r="F20">
        <v>823350.81000000157</v>
      </c>
      <c r="I20" t="s">
        <v>48</v>
      </c>
      <c r="J20">
        <v>8760</v>
      </c>
      <c r="K20" t="s">
        <v>48</v>
      </c>
      <c r="L20">
        <v>8760</v>
      </c>
    </row>
    <row r="21" spans="1:17" x14ac:dyDescent="0.3">
      <c r="A21" t="s">
        <v>3</v>
      </c>
      <c r="B21" t="s">
        <v>142</v>
      </c>
      <c r="C21">
        <v>478.27</v>
      </c>
      <c r="D21">
        <v>694464.64999999688</v>
      </c>
      <c r="E21">
        <v>476.33</v>
      </c>
      <c r="F21">
        <v>694707.32000000228</v>
      </c>
      <c r="I21" t="s">
        <v>48</v>
      </c>
      <c r="J21">
        <v>8760</v>
      </c>
      <c r="K21" t="s">
        <v>48</v>
      </c>
      <c r="L21">
        <v>8760</v>
      </c>
      <c r="M21">
        <v>1</v>
      </c>
      <c r="N21">
        <v>0.42846730351448059</v>
      </c>
      <c r="O21">
        <v>0.42846730351448059</v>
      </c>
      <c r="P21">
        <v>0.42846730351448059</v>
      </c>
      <c r="Q21">
        <v>0.42846730351448059</v>
      </c>
    </row>
    <row r="22" spans="1:17" x14ac:dyDescent="0.3">
      <c r="A22" t="s">
        <v>3</v>
      </c>
      <c r="B22" t="s">
        <v>143</v>
      </c>
      <c r="C22">
        <v>476.68</v>
      </c>
      <c r="D22">
        <v>744576.99000000104</v>
      </c>
      <c r="E22">
        <v>467.82</v>
      </c>
      <c r="F22">
        <v>753799.40000000142</v>
      </c>
      <c r="I22" t="s">
        <v>48</v>
      </c>
      <c r="J22">
        <v>8760</v>
      </c>
      <c r="K22" t="s">
        <v>48</v>
      </c>
      <c r="L22">
        <v>8760</v>
      </c>
      <c r="M22">
        <v>3</v>
      </c>
      <c r="N22">
        <v>0.6775287389755249</v>
      </c>
      <c r="O22">
        <v>0.627718954474629</v>
      </c>
      <c r="P22">
        <v>0.46839380264282227</v>
      </c>
      <c r="Q22">
        <v>0.87447911500930786</v>
      </c>
    </row>
    <row r="23" spans="1:17" x14ac:dyDescent="0.3">
      <c r="A23" t="s">
        <v>3</v>
      </c>
      <c r="B23" t="s">
        <v>144</v>
      </c>
      <c r="C23">
        <v>759.24</v>
      </c>
      <c r="D23">
        <v>1228978.2199999988</v>
      </c>
      <c r="E23">
        <v>759.24</v>
      </c>
      <c r="F23">
        <v>1227931.3199999996</v>
      </c>
      <c r="I23" t="s">
        <v>48</v>
      </c>
      <c r="J23">
        <v>8760</v>
      </c>
      <c r="K23" t="s">
        <v>48</v>
      </c>
      <c r="L23">
        <v>8760</v>
      </c>
    </row>
    <row r="24" spans="1:17" x14ac:dyDescent="0.3">
      <c r="A24" t="s">
        <v>3</v>
      </c>
      <c r="B24" t="s">
        <v>145</v>
      </c>
      <c r="C24">
        <v>2398.34</v>
      </c>
      <c r="D24">
        <v>3881202.9900000039</v>
      </c>
      <c r="E24">
        <v>2398.34</v>
      </c>
      <c r="F24">
        <v>3881972.8899999922</v>
      </c>
      <c r="I24" t="s">
        <v>48</v>
      </c>
      <c r="J24">
        <v>8760</v>
      </c>
      <c r="K24" t="s">
        <v>48</v>
      </c>
      <c r="L24">
        <v>8760</v>
      </c>
    </row>
    <row r="25" spans="1:17" x14ac:dyDescent="0.3">
      <c r="A25" t="s">
        <v>3</v>
      </c>
      <c r="B25" t="s">
        <v>146</v>
      </c>
      <c r="C25">
        <v>2320.8000000000002</v>
      </c>
      <c r="D25">
        <v>3312791.730000007</v>
      </c>
      <c r="E25">
        <v>2320.8000000000002</v>
      </c>
      <c r="F25">
        <v>3313842.6700000041</v>
      </c>
      <c r="I25" t="s">
        <v>48</v>
      </c>
      <c r="J25">
        <v>8760</v>
      </c>
      <c r="K25" t="s">
        <v>48</v>
      </c>
      <c r="L25">
        <v>8760</v>
      </c>
    </row>
    <row r="26" spans="1:17" x14ac:dyDescent="0.3">
      <c r="A26" t="s">
        <v>3</v>
      </c>
      <c r="B26" t="s">
        <v>147</v>
      </c>
      <c r="C26">
        <v>1297.8</v>
      </c>
      <c r="D26">
        <v>2062914.2999999961</v>
      </c>
      <c r="E26">
        <v>1297.8</v>
      </c>
      <c r="F26">
        <v>2062874.9399999969</v>
      </c>
      <c r="I26" t="s">
        <v>48</v>
      </c>
      <c r="J26">
        <v>8760</v>
      </c>
      <c r="K26" t="s">
        <v>48</v>
      </c>
      <c r="L26">
        <v>8760</v>
      </c>
    </row>
    <row r="27" spans="1:17" x14ac:dyDescent="0.3">
      <c r="A27" t="s">
        <v>3</v>
      </c>
      <c r="B27" t="s">
        <v>148</v>
      </c>
      <c r="C27">
        <v>238.47</v>
      </c>
      <c r="D27">
        <v>372494.49000000005</v>
      </c>
      <c r="E27">
        <v>238.47</v>
      </c>
      <c r="F27">
        <v>372579.04999999981</v>
      </c>
      <c r="I27" t="s">
        <v>48</v>
      </c>
      <c r="J27">
        <v>8760</v>
      </c>
      <c r="K27" t="s">
        <v>48</v>
      </c>
      <c r="L27">
        <v>8760</v>
      </c>
    </row>
    <row r="28" spans="1:17" x14ac:dyDescent="0.3">
      <c r="A28" t="s">
        <v>3</v>
      </c>
      <c r="B28" t="s">
        <v>149</v>
      </c>
      <c r="C28">
        <v>799.84</v>
      </c>
      <c r="D28">
        <v>1284430.5000000005</v>
      </c>
      <c r="E28">
        <v>799.84</v>
      </c>
      <c r="F28">
        <v>1283924.8700000017</v>
      </c>
      <c r="I28" t="s">
        <v>48</v>
      </c>
      <c r="J28">
        <v>8760</v>
      </c>
      <c r="K28" t="s">
        <v>48</v>
      </c>
      <c r="L28">
        <v>8760</v>
      </c>
    </row>
    <row r="29" spans="1:17" x14ac:dyDescent="0.3">
      <c r="A29" t="s">
        <v>3</v>
      </c>
      <c r="B29" t="s">
        <v>150</v>
      </c>
      <c r="C29">
        <v>575.41</v>
      </c>
      <c r="D29">
        <v>901686.16000000038</v>
      </c>
      <c r="E29">
        <v>575.41</v>
      </c>
      <c r="F29">
        <v>901209.37999999849</v>
      </c>
      <c r="I29" t="s">
        <v>48</v>
      </c>
      <c r="J29">
        <v>8760</v>
      </c>
      <c r="K29" t="s">
        <v>48</v>
      </c>
      <c r="L29">
        <v>8760</v>
      </c>
    </row>
    <row r="30" spans="1:17" x14ac:dyDescent="0.3">
      <c r="A30" t="s">
        <v>3</v>
      </c>
      <c r="B30" t="s">
        <v>151</v>
      </c>
      <c r="C30">
        <v>301.74</v>
      </c>
      <c r="D30">
        <v>450223.06999999983</v>
      </c>
      <c r="E30">
        <v>301.74</v>
      </c>
      <c r="F30">
        <v>447112.52999999915</v>
      </c>
      <c r="I30" t="s">
        <v>48</v>
      </c>
      <c r="J30">
        <v>8760</v>
      </c>
      <c r="K30" t="s">
        <v>48</v>
      </c>
      <c r="L30">
        <v>8760</v>
      </c>
    </row>
    <row r="31" spans="1:17" x14ac:dyDescent="0.3">
      <c r="A31" t="s">
        <v>3</v>
      </c>
      <c r="B31" t="s">
        <v>152</v>
      </c>
      <c r="C31">
        <v>451.42</v>
      </c>
      <c r="D31">
        <v>703839.78999999969</v>
      </c>
      <c r="E31">
        <v>451.42</v>
      </c>
      <c r="F31">
        <v>703236.01999999711</v>
      </c>
      <c r="I31" t="s">
        <v>48</v>
      </c>
      <c r="J31">
        <v>8760</v>
      </c>
      <c r="K31" t="s">
        <v>48</v>
      </c>
      <c r="L31">
        <v>8760</v>
      </c>
    </row>
    <row r="32" spans="1:17" x14ac:dyDescent="0.3">
      <c r="A32" t="s">
        <v>3</v>
      </c>
      <c r="B32" t="s">
        <v>153</v>
      </c>
      <c r="C32">
        <v>1432.54</v>
      </c>
      <c r="D32">
        <v>2249154.0799999931</v>
      </c>
      <c r="E32">
        <v>1432.54</v>
      </c>
      <c r="F32">
        <v>2249694.9900000002</v>
      </c>
      <c r="I32" t="s">
        <v>48</v>
      </c>
      <c r="J32">
        <v>8760</v>
      </c>
      <c r="K32" t="s">
        <v>48</v>
      </c>
      <c r="L32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missing_in_ucea</vt:lpstr>
      <vt:lpstr>ucea_only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2026-04-30T16:58:47Z</dcterms:modified>
</cp:coreProperties>
</file>