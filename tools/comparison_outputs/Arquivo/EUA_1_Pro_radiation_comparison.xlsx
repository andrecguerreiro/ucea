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Arquivo\"/>
    </mc:Choice>
  </mc:AlternateContent>
  <xr:revisionPtr revIDLastSave="0" documentId="13_ncr:1_{D0C67225-EED7-46F5-944A-EE4D677FA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omparison" sheetId="2" r:id="rId2"/>
    <sheet name="missing_in_ucea" sheetId="3" r:id="rId3"/>
    <sheet name="ucea_on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6" i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B2" i="2"/>
  <c r="AA2" i="2"/>
</calcChain>
</file>

<file path=xl/sharedStrings.xml><?xml version="1.0" encoding="utf-8"?>
<sst xmlns="http://schemas.openxmlformats.org/spreadsheetml/2006/main" count="2034" uniqueCount="294">
  <si>
    <t>metric</t>
  </si>
  <si>
    <t>value</t>
  </si>
  <si>
    <t>area_id</t>
  </si>
  <si>
    <t>EUA_1_Pro</t>
  </si>
  <si>
    <t>validation_csv_path</t>
  </si>
  <si>
    <t>C:\Documents\Doutoramento\CEA Projects\ucea\tools\validation_outputs\EUA_1_Pro_residential_radiation.csv</t>
  </si>
  <si>
    <t>ucea_summary_csv_path</t>
  </si>
  <si>
    <t>C:\Users\Andre\cea-scenarios\Validation\EUA\outputs\data\solar-radiation\building_rooftop_radiation_annual_kWh.csv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</si>
  <si>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</si>
  <si>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</si>
  <si>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</si>
  <si>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</si>
  <si>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</si>
  <si>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</si>
  <si>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</si>
  <si>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total_validation_area_m2</t>
  </si>
  <si>
    <t>total_ucea_roofs_top_m2_matched</t>
  </si>
  <si>
    <t>total_workflow0_roofs_top_m2_matched</t>
  </si>
  <si>
    <t>total_validation_radiation_kwh_year</t>
  </si>
  <si>
    <t>total_ucea_radiation_kwh_year_matched</t>
  </si>
  <si>
    <t>total_workflow0_radiation_kwh_year_matched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</si>
  <si>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</si>
  <si>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</si>
  <si>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</si>
  <si>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</si>
  <si>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</si>
  <si>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</si>
  <si>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</si>
  <si>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</si>
  <si>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</si>
  <si>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</si>
  <si>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</si>
  <si>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</si>
  <si>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</si>
  <si>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</si>
  <si>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</si>
  <si>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</si>
  <si>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</si>
  <si>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</si>
  <si>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</si>
  <si>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</si>
  <si>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</si>
  <si>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</si>
  <si>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</si>
  <si>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</si>
  <si>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</si>
  <si>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B1003</t>
  </si>
  <si>
    <t>matched</t>
  </si>
  <si>
    <t>roofs_top_kW</t>
  </si>
  <si>
    <t>cea</t>
  </si>
  <si>
    <t>MULTI_RES</t>
  </si>
  <si>
    <t>NONE</t>
  </si>
  <si>
    <t>B1004</t>
  </si>
  <si>
    <t>B1005</t>
  </si>
  <si>
    <t>B1009</t>
  </si>
  <si>
    <t>B1011</t>
  </si>
  <si>
    <t>B1012</t>
  </si>
  <si>
    <t>B1018</t>
  </si>
  <si>
    <t>B1019</t>
  </si>
  <si>
    <t>B1020</t>
  </si>
  <si>
    <t>B1024</t>
  </si>
  <si>
    <t>B1025</t>
  </si>
  <si>
    <t>B1026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</si>
  <si>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</si>
  <si>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</si>
  <si>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</si>
  <si>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</si>
  <si>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</si>
  <si>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</si>
  <si>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</si>
  <si>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</si>
  <si>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</si>
  <si>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</si>
  <si>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</si>
  <si>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</si>
  <si>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</si>
  <si>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</si>
  <si>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</si>
  <si>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</si>
  <si>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</si>
  <si>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</si>
  <si>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</si>
  <si>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</si>
  <si>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</si>
  <si>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</si>
  <si>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</si>
  <si>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</si>
  <si>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</si>
  <si>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</si>
  <si>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</si>
  <si>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</si>
  <si>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</si>
  <si>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</si>
  <si>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</si>
  <si>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</si>
  <si>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</si>
  <si>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</si>
  <si>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</si>
  <si>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</si>
  <si>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</si>
  <si>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</si>
  <si>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</si>
  <si>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</si>
  <si>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</si>
  <si>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</si>
  <si>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</si>
  <si>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</si>
  <si>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</si>
  <si>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B1079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</si>
  <si>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</si>
  <si>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</si>
  <si>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</si>
  <si>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</si>
  <si>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</si>
  <si>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</si>
  <si>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</si>
  <si>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</si>
  <si>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</si>
  <si>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</si>
  <si>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</si>
  <si>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</si>
  <si>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</si>
  <si>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</si>
  <si>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</si>
  <si>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</si>
  <si>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</si>
  <si>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</si>
  <si>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</si>
  <si>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</si>
  <si>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</si>
  <si>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</si>
  <si>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</si>
  <si>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</si>
  <si>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</si>
  <si>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</si>
  <si>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</si>
  <si>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</si>
  <si>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</si>
  <si>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</si>
  <si>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</si>
  <si>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</si>
  <si>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</si>
  <si>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</si>
  <si>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B1123</t>
  </si>
  <si>
    <t>B1124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</si>
  <si>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</si>
  <si>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</si>
  <si>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</si>
  <si>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</si>
  <si>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</si>
  <si>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</si>
  <si>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</si>
  <si>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</si>
  <si>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</si>
  <si>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</si>
  <si>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</si>
  <si>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</si>
  <si>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</si>
  <si>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</si>
  <si>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</si>
  <si>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</si>
  <si>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</si>
  <si>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</si>
  <si>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</si>
  <si>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</si>
  <si>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</si>
  <si>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</si>
  <si>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</si>
  <si>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B1152</t>
  </si>
  <si>
    <t>B1153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</si>
  <si>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</si>
  <si>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</si>
  <si>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</si>
  <si>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</si>
  <si>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</si>
  <si>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</si>
  <si>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</si>
  <si>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</si>
  <si>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</si>
  <si>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</si>
  <si>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</si>
  <si>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</si>
  <si>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</si>
  <si>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</si>
  <si>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</si>
  <si>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</si>
  <si>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</si>
  <si>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</si>
  <si>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</si>
  <si>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</si>
  <si>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B1179</t>
  </si>
  <si>
    <t>B1180</t>
  </si>
  <si>
    <t>B1181</t>
  </si>
  <si>
    <t>B1182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</si>
  <si>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</si>
  <si>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</si>
  <si>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</si>
  <si>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</si>
  <si>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</si>
  <si>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</si>
  <si>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</si>
  <si>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</si>
  <si>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</si>
  <si>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</si>
  <si>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</si>
  <si>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</si>
  <si>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</si>
  <si>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</si>
  <si>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</si>
  <si>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</si>
  <si>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</si>
  <si>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</si>
  <si>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</si>
  <si>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</si>
  <si>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</si>
  <si>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</si>
  <si>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</si>
  <si>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</si>
  <si>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</si>
  <si>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</si>
  <si>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</si>
  <si>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</si>
  <si>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</si>
  <si>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</si>
  <si>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</si>
  <si>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</si>
  <si>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</si>
  <si>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</si>
  <si>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</si>
  <si>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</si>
  <si>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</si>
  <si>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</si>
  <si>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</si>
  <si>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</si>
  <si>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</si>
  <si>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</si>
  <si>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</si>
  <si>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</si>
  <si>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</si>
  <si>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</si>
  <si>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B1235</t>
  </si>
  <si>
    <t>B1237</t>
  </si>
  <si>
    <t>B1240</t>
  </si>
  <si>
    <t>B1241</t>
  </si>
  <si>
    <t>B1242</t>
  </si>
  <si>
    <t>B1000</t>
  </si>
  <si>
    <t>B1001</t>
  </si>
  <si>
    <t>B1002</t>
  </si>
  <si>
    <t>B1006</t>
  </si>
  <si>
    <t>B1007</t>
  </si>
  <si>
    <t>B1008</t>
  </si>
  <si>
    <t>B1010</t>
  </si>
  <si>
    <t>B1013</t>
  </si>
  <si>
    <t>B1014</t>
  </si>
  <si>
    <t>B1015</t>
  </si>
  <si>
    <t>B1016</t>
  </si>
  <si>
    <t>B1017</t>
  </si>
  <si>
    <t>B1021</t>
  </si>
  <si>
    <t>B1022</t>
  </si>
  <si>
    <t>B1023</t>
  </si>
  <si>
    <t>B1027</t>
  </si>
  <si>
    <t>B1028</t>
  </si>
  <si>
    <t>B1029</t>
  </si>
  <si>
    <t>B1030</t>
  </si>
  <si>
    <t>B1052</t>
  </si>
  <si>
    <t>B1053</t>
  </si>
  <si>
    <t>B1078</t>
  </si>
  <si>
    <t>B1080</t>
  </si>
  <si>
    <t>B1081</t>
  </si>
  <si>
    <t>B1082</t>
  </si>
  <si>
    <t>B1083</t>
  </si>
  <si>
    <t>B1084</t>
  </si>
  <si>
    <t>B1110</t>
  </si>
  <si>
    <t>B1111</t>
  </si>
  <si>
    <t>B1112</t>
  </si>
  <si>
    <t>B1122</t>
  </si>
  <si>
    <t>B1125</t>
  </si>
  <si>
    <t>B1149</t>
  </si>
  <si>
    <t>B1150</t>
  </si>
  <si>
    <t>B1151</t>
  </si>
  <si>
    <t>B1154</t>
  </si>
  <si>
    <t>B1155</t>
  </si>
  <si>
    <t>B1176</t>
  </si>
  <si>
    <t>B1177</t>
  </si>
  <si>
    <t>B1178</t>
  </si>
  <si>
    <t>B1183</t>
  </si>
  <si>
    <t>B1184</t>
  </si>
  <si>
    <t>B1185</t>
  </si>
  <si>
    <t>B1186</t>
  </si>
  <si>
    <t>B1233</t>
  </si>
  <si>
    <t>B1234</t>
  </si>
  <si>
    <t>B1236</t>
  </si>
  <si>
    <t>B1238</t>
  </si>
  <si>
    <t>B1239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</si>
</sst>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17" sqref="B16:B17"/>
    </sheetView>
  </sheetViews>
  <sheetFormatPr defaultRowHeight="14.4" x14ac:dyDescent="0.3"/>
  <cols>
    <col min="1" max="1" width="40.77734375" bestFit="1" customWidth="1"/>
    <col min="2" max="2" width="8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>
        <v>194</v>
      </c>
    </row>
    <row r="6" spans="1:3" x14ac:dyDescent="0.3">
      <c r="A6" t="s">
        <v>9</v>
      </c>
      <c r="B6">
        <v>173</v>
      </c>
      <c r="C6">
        <f>B6/B5</f>
        <v>0.89175257731958768</v>
      </c>
    </row>
    <row r="7" spans="1:3" x14ac:dyDescent="0.3">
      <c r="A7" t="s">
        <v>10</v>
      </c>
      <c r="B7">
        <v>0</v>
      </c>
    </row>
    <row r="8" spans="1:3" x14ac:dyDescent="0.3">
      <c r="A8" t="s">
        <v>11</v>
      </c>
    </row>
    <row r="9" spans="1:3" x14ac:dyDescent="0.3">
      <c r="A9" t="s">
        <v>12</v>
      </c>
      <c r="B9">
        <v>194</v>
      </c>
    </row>
    <row r="10" spans="1:3" x14ac:dyDescent="0.3">
      <c r="A10" t="s">
        <v>13</v>
      </c>
      <c r="B10">
        <v>0</v>
      </c>
    </row>
    <row r="11" spans="1:3" x14ac:dyDescent="0.3">
      <c r="A11" t="s">
        <v>14</v>
      </c>
      <c r="B11">
        <v>49</v>
      </c>
    </row>
    <row r="12" spans="1:3" x14ac:dyDescent="0.3">
      <c r="A12" t="s">
        <v>15</v>
      </c>
      <c r="B12">
        <v>43747.824403808605</v>
      </c>
    </row>
    <row r="13" spans="1:3" x14ac:dyDescent="0.3">
      <c r="A13" t="s">
        <v>16</v>
      </c>
      <c r="B13">
        <v>47155.260000000009</v>
      </c>
    </row>
    <row r="14" spans="1:3" x14ac:dyDescent="0.3">
      <c r="A14" t="s">
        <v>17</v>
      </c>
      <c r="B14">
        <v>43314.979999999996</v>
      </c>
    </row>
    <row r="15" spans="1:3" x14ac:dyDescent="0.3">
      <c r="A15" t="s">
        <v>18</v>
      </c>
      <c r="B15">
        <v>77719006.844945282</v>
      </c>
    </row>
    <row r="16" spans="1:3" x14ac:dyDescent="0.3">
      <c r="A16" t="s">
        <v>19</v>
      </c>
      <c r="B16" s="1">
        <v>69869787.709999993</v>
      </c>
      <c r="C16">
        <f>(B16-B15)/B15</f>
        <v>-0.1009948460947914</v>
      </c>
    </row>
    <row r="17" spans="1:3" x14ac:dyDescent="0.3">
      <c r="A17" t="s">
        <v>20</v>
      </c>
      <c r="B17" s="1">
        <v>67027595.399999976</v>
      </c>
      <c r="C17">
        <f>(B17-B15)/B15</f>
        <v>-0.13756495198498098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5"/>
  <sheetViews>
    <sheetView topLeftCell="F1" workbookViewId="0">
      <selection activeCell="V9" sqref="V9"/>
    </sheetView>
  </sheetViews>
  <sheetFormatPr defaultRowHeight="14.4" x14ac:dyDescent="0.3"/>
  <sheetData>
    <row r="1" spans="1:28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29</v>
      </c>
      <c r="AB1" t="s">
        <v>30</v>
      </c>
    </row>
    <row r="2" spans="1:28" x14ac:dyDescent="0.3">
      <c r="A2" t="s">
        <v>3</v>
      </c>
      <c r="B2" t="s">
        <v>46</v>
      </c>
      <c r="C2" t="s">
        <v>47</v>
      </c>
      <c r="D2">
        <v>240.5197373075855</v>
      </c>
      <c r="E2">
        <v>246.41</v>
      </c>
      <c r="F2">
        <v>236.51</v>
      </c>
      <c r="G2">
        <v>425129.8626484375</v>
      </c>
      <c r="H2">
        <v>371433.40000000043</v>
      </c>
      <c r="I2">
        <v>367223.29000000074</v>
      </c>
      <c r="J2">
        <v>-57906.572648436762</v>
      </c>
      <c r="K2">
        <v>-53696.462648437067</v>
      </c>
      <c r="L2" t="s">
        <v>48</v>
      </c>
      <c r="M2">
        <v>8760</v>
      </c>
      <c r="N2">
        <v>397</v>
      </c>
      <c r="O2" t="s">
        <v>49</v>
      </c>
      <c r="P2" t="s">
        <v>50</v>
      </c>
      <c r="Q2" t="s">
        <v>51</v>
      </c>
      <c r="R2" t="s">
        <v>51</v>
      </c>
      <c r="T2" t="s">
        <v>48</v>
      </c>
      <c r="U2">
        <v>8760</v>
      </c>
      <c r="V2">
        <v>2</v>
      </c>
      <c r="W2">
        <v>0.99810227751731873</v>
      </c>
      <c r="X2">
        <v>0.99810251126639538</v>
      </c>
      <c r="Y2">
        <v>0.99760961532592773</v>
      </c>
      <c r="Z2">
        <v>0.99859493970870972</v>
      </c>
      <c r="AA2">
        <f t="shared" ref="AA2:AA65" si="0">(I2-G2)/G2</f>
        <v>-0.13620913922088504</v>
      </c>
      <c r="AB2">
        <f t="shared" ref="AB2:AB65" si="1">(H2-G2)/G2</f>
        <v>-0.12630602403210034</v>
      </c>
    </row>
    <row r="3" spans="1:28" x14ac:dyDescent="0.3">
      <c r="A3" t="s">
        <v>3</v>
      </c>
      <c r="B3" t="s">
        <v>52</v>
      </c>
      <c r="C3" t="s">
        <v>47</v>
      </c>
      <c r="D3">
        <v>234.9731577045585</v>
      </c>
      <c r="E3">
        <v>243.61</v>
      </c>
      <c r="F3">
        <v>226.27</v>
      </c>
      <c r="G3">
        <v>348378.22080468753</v>
      </c>
      <c r="H3">
        <v>367052.1100000001</v>
      </c>
      <c r="I3">
        <v>352747.63000000064</v>
      </c>
      <c r="J3">
        <v>4369.4091953131137</v>
      </c>
      <c r="K3">
        <v>18673.889195312571</v>
      </c>
      <c r="L3" t="s">
        <v>48</v>
      </c>
      <c r="M3">
        <v>8760</v>
      </c>
      <c r="N3">
        <v>389</v>
      </c>
      <c r="O3" t="s">
        <v>49</v>
      </c>
      <c r="P3" t="s">
        <v>50</v>
      </c>
      <c r="Q3" t="s">
        <v>51</v>
      </c>
      <c r="R3" t="s">
        <v>51</v>
      </c>
      <c r="T3" t="s">
        <v>48</v>
      </c>
      <c r="U3">
        <v>8760</v>
      </c>
      <c r="V3">
        <v>2</v>
      </c>
      <c r="W3">
        <v>0.99593791365623474</v>
      </c>
      <c r="X3">
        <v>0.99593835156774879</v>
      </c>
      <c r="Y3">
        <v>0.99511069059371948</v>
      </c>
      <c r="Z3">
        <v>0.99676513671875</v>
      </c>
      <c r="AA3">
        <f t="shared" si="0"/>
        <v>1.2542142230420168E-2</v>
      </c>
      <c r="AB3">
        <f t="shared" si="1"/>
        <v>5.3602343889866115E-2</v>
      </c>
    </row>
    <row r="4" spans="1:28" x14ac:dyDescent="0.3">
      <c r="A4" t="s">
        <v>3</v>
      </c>
      <c r="B4" t="s">
        <v>53</v>
      </c>
      <c r="C4" t="s">
        <v>47</v>
      </c>
      <c r="D4">
        <v>246.40961092436055</v>
      </c>
      <c r="E4">
        <v>257.42</v>
      </c>
      <c r="F4">
        <v>233.35</v>
      </c>
      <c r="G4">
        <v>412598.97968749999</v>
      </c>
      <c r="H4">
        <v>342803.48000000051</v>
      </c>
      <c r="I4">
        <v>326207.34000000061</v>
      </c>
      <c r="J4">
        <v>-86391.639687499381</v>
      </c>
      <c r="K4">
        <v>-69795.499687499483</v>
      </c>
      <c r="L4" t="s">
        <v>48</v>
      </c>
      <c r="M4">
        <v>8760</v>
      </c>
      <c r="N4">
        <v>406</v>
      </c>
      <c r="O4" t="s">
        <v>49</v>
      </c>
      <c r="P4" t="s">
        <v>50</v>
      </c>
      <c r="Q4" t="s">
        <v>51</v>
      </c>
      <c r="R4" t="s">
        <v>51</v>
      </c>
      <c r="T4" t="s">
        <v>48</v>
      </c>
      <c r="U4">
        <v>8760</v>
      </c>
      <c r="V4">
        <v>2</v>
      </c>
      <c r="W4">
        <v>0.99565139412879944</v>
      </c>
      <c r="X4">
        <v>0.99565111126932471</v>
      </c>
      <c r="Y4">
        <v>0.99363869428634644</v>
      </c>
      <c r="Z4">
        <v>0.99766409397125244</v>
      </c>
      <c r="AA4">
        <f t="shared" si="0"/>
        <v>-0.20938403617219775</v>
      </c>
      <c r="AB4">
        <f t="shared" si="1"/>
        <v>-0.16916062114443953</v>
      </c>
    </row>
    <row r="5" spans="1:28" x14ac:dyDescent="0.3">
      <c r="A5" t="s">
        <v>3</v>
      </c>
      <c r="B5" t="s">
        <v>54</v>
      </c>
      <c r="C5" t="s">
        <v>47</v>
      </c>
      <c r="D5">
        <v>53.342896759335169</v>
      </c>
      <c r="E5">
        <v>66.92</v>
      </c>
      <c r="F5">
        <v>50.64</v>
      </c>
      <c r="G5">
        <v>121597.370625</v>
      </c>
      <c r="H5">
        <v>62804.159999999792</v>
      </c>
      <c r="I5">
        <v>45179.07000000016</v>
      </c>
      <c r="J5">
        <v>-76418.300624999829</v>
      </c>
      <c r="K5">
        <v>-58793.210625000203</v>
      </c>
      <c r="L5" t="s">
        <v>48</v>
      </c>
      <c r="M5">
        <v>8760</v>
      </c>
      <c r="N5">
        <v>83</v>
      </c>
      <c r="O5" t="s">
        <v>49</v>
      </c>
      <c r="P5" t="s">
        <v>50</v>
      </c>
      <c r="Q5" t="s">
        <v>51</v>
      </c>
      <c r="R5" t="s">
        <v>51</v>
      </c>
      <c r="T5" t="s">
        <v>48</v>
      </c>
      <c r="U5">
        <v>8760</v>
      </c>
      <c r="V5">
        <v>2</v>
      </c>
      <c r="W5">
        <v>0.70789059996604919</v>
      </c>
      <c r="X5">
        <v>0.70806819939981858</v>
      </c>
      <c r="Y5">
        <v>0.62909752130508423</v>
      </c>
      <c r="Z5">
        <v>0.78668367862701416</v>
      </c>
      <c r="AA5">
        <f t="shared" si="0"/>
        <v>-0.62845356139048369</v>
      </c>
      <c r="AB5">
        <f t="shared" si="1"/>
        <v>-0.48350725285265767</v>
      </c>
    </row>
    <row r="6" spans="1:28" x14ac:dyDescent="0.3">
      <c r="A6" t="s">
        <v>3</v>
      </c>
      <c r="B6" t="s">
        <v>55</v>
      </c>
      <c r="C6" t="s">
        <v>47</v>
      </c>
      <c r="D6">
        <v>76.470382524289832</v>
      </c>
      <c r="E6">
        <v>78.8</v>
      </c>
      <c r="F6">
        <v>76.47</v>
      </c>
      <c r="G6">
        <v>125437.48853125</v>
      </c>
      <c r="H6">
        <v>140097.65999999971</v>
      </c>
      <c r="I6">
        <v>123345.75000000017</v>
      </c>
      <c r="J6">
        <v>-2091.7385312498227</v>
      </c>
      <c r="K6">
        <v>14660.171468749715</v>
      </c>
      <c r="L6" t="s">
        <v>48</v>
      </c>
      <c r="M6">
        <v>8760</v>
      </c>
      <c r="N6">
        <v>125</v>
      </c>
      <c r="O6" t="s">
        <v>49</v>
      </c>
      <c r="P6" t="s">
        <v>50</v>
      </c>
      <c r="Q6" t="s">
        <v>51</v>
      </c>
      <c r="R6" t="s">
        <v>51</v>
      </c>
      <c r="T6" t="s">
        <v>48</v>
      </c>
      <c r="U6">
        <v>8760</v>
      </c>
      <c r="V6">
        <v>1</v>
      </c>
      <c r="W6">
        <v>0.91842097043991089</v>
      </c>
      <c r="X6">
        <v>0.91842097043991089</v>
      </c>
      <c r="Y6">
        <v>0.91842097043991089</v>
      </c>
      <c r="Z6">
        <v>0.91842097043991089</v>
      </c>
      <c r="AA6">
        <f t="shared" si="0"/>
        <v>-1.6675545371180739E-2</v>
      </c>
      <c r="AB6">
        <f t="shared" si="1"/>
        <v>0.1168723293204125</v>
      </c>
    </row>
    <row r="7" spans="1:28" x14ac:dyDescent="0.3">
      <c r="A7" t="s">
        <v>3</v>
      </c>
      <c r="B7" t="s">
        <v>56</v>
      </c>
      <c r="C7" t="s">
        <v>47</v>
      </c>
      <c r="D7">
        <v>72.439108435447054</v>
      </c>
      <c r="E7">
        <v>72.459999999999994</v>
      </c>
      <c r="F7">
        <v>72.459999999999994</v>
      </c>
      <c r="G7">
        <v>137183.54525</v>
      </c>
      <c r="H7">
        <v>109582.92000000007</v>
      </c>
      <c r="I7">
        <v>109417.51999999979</v>
      </c>
      <c r="J7">
        <v>-27766.02525000021</v>
      </c>
      <c r="K7">
        <v>-27600.625249999925</v>
      </c>
      <c r="L7" t="s">
        <v>48</v>
      </c>
      <c r="M7">
        <v>8760</v>
      </c>
      <c r="N7">
        <v>120</v>
      </c>
      <c r="O7" t="s">
        <v>49</v>
      </c>
      <c r="P7" t="s">
        <v>50</v>
      </c>
      <c r="Q7" t="s">
        <v>51</v>
      </c>
      <c r="R7" t="s">
        <v>51</v>
      </c>
      <c r="T7" t="s">
        <v>48</v>
      </c>
      <c r="U7">
        <v>8760</v>
      </c>
      <c r="AA7">
        <f t="shared" si="0"/>
        <v>-0.20240055175276359</v>
      </c>
      <c r="AB7">
        <f t="shared" si="1"/>
        <v>-0.20119486779337281</v>
      </c>
    </row>
    <row r="8" spans="1:28" x14ac:dyDescent="0.3">
      <c r="A8" t="s">
        <v>3</v>
      </c>
      <c r="B8" t="s">
        <v>57</v>
      </c>
      <c r="C8" t="s">
        <v>47</v>
      </c>
      <c r="D8">
        <v>248.21305377072636</v>
      </c>
      <c r="E8">
        <v>254.49</v>
      </c>
      <c r="F8">
        <v>248.21</v>
      </c>
      <c r="G8">
        <v>502013.85620312503</v>
      </c>
      <c r="H8">
        <v>403033.06999999983</v>
      </c>
      <c r="I8">
        <v>400289.98000000056</v>
      </c>
      <c r="J8">
        <v>-101723.87620312447</v>
      </c>
      <c r="K8">
        <v>-98980.786203125201</v>
      </c>
      <c r="L8" t="s">
        <v>48</v>
      </c>
      <c r="M8">
        <v>8760</v>
      </c>
      <c r="N8">
        <v>409</v>
      </c>
      <c r="O8" t="s">
        <v>49</v>
      </c>
      <c r="P8" t="s">
        <v>50</v>
      </c>
      <c r="Q8" t="s">
        <v>51</v>
      </c>
      <c r="R8" t="s">
        <v>51</v>
      </c>
      <c r="T8" t="s">
        <v>48</v>
      </c>
      <c r="U8">
        <v>8760</v>
      </c>
      <c r="V8">
        <v>2</v>
      </c>
      <c r="W8">
        <v>0.99950322508811951</v>
      </c>
      <c r="X8">
        <v>0.99950299821175559</v>
      </c>
      <c r="Y8">
        <v>0.99935322999954224</v>
      </c>
      <c r="Z8">
        <v>0.99965322017669678</v>
      </c>
      <c r="AA8">
        <f t="shared" si="0"/>
        <v>-0.20263161055452006</v>
      </c>
      <c r="AB8">
        <f t="shared" si="1"/>
        <v>-0.19716743866742109</v>
      </c>
    </row>
    <row r="9" spans="1:28" x14ac:dyDescent="0.3">
      <c r="A9" t="s">
        <v>3</v>
      </c>
      <c r="B9" t="s">
        <v>58</v>
      </c>
      <c r="C9" t="s">
        <v>47</v>
      </c>
      <c r="D9">
        <v>226.22613094662921</v>
      </c>
      <c r="E9">
        <v>232.72</v>
      </c>
      <c r="F9">
        <v>226.23</v>
      </c>
      <c r="G9">
        <v>355871.62594531249</v>
      </c>
      <c r="H9">
        <v>369709.3400000002</v>
      </c>
      <c r="I9">
        <v>364612.54000000004</v>
      </c>
      <c r="J9">
        <v>8740.9140546875424</v>
      </c>
      <c r="K9">
        <v>13837.714054687705</v>
      </c>
      <c r="L9" t="s">
        <v>48</v>
      </c>
      <c r="M9">
        <v>8760</v>
      </c>
      <c r="N9">
        <v>372</v>
      </c>
      <c r="O9" t="s">
        <v>49</v>
      </c>
      <c r="P9" t="s">
        <v>50</v>
      </c>
      <c r="Q9" t="s">
        <v>51</v>
      </c>
      <c r="R9" t="s">
        <v>51</v>
      </c>
      <c r="T9" t="s">
        <v>48</v>
      </c>
      <c r="U9">
        <v>8760</v>
      </c>
      <c r="V9">
        <v>2</v>
      </c>
      <c r="W9">
        <v>0.95616903901100159</v>
      </c>
      <c r="X9">
        <v>0.95622030702015759</v>
      </c>
      <c r="Y9">
        <v>0.934761643409729</v>
      </c>
      <c r="Z9">
        <v>0.97757643461227417</v>
      </c>
      <c r="AA9">
        <f t="shared" si="0"/>
        <v>2.4561986450784858E-2</v>
      </c>
      <c r="AB9">
        <f t="shared" si="1"/>
        <v>3.8884004921522386E-2</v>
      </c>
    </row>
    <row r="10" spans="1:28" x14ac:dyDescent="0.3">
      <c r="A10" t="s">
        <v>3</v>
      </c>
      <c r="B10" t="s">
        <v>59</v>
      </c>
      <c r="C10" t="s">
        <v>47</v>
      </c>
      <c r="D10">
        <v>231.60971977628179</v>
      </c>
      <c r="E10">
        <v>235.21</v>
      </c>
      <c r="F10">
        <v>231.61</v>
      </c>
      <c r="G10">
        <v>464894.617875</v>
      </c>
      <c r="H10">
        <v>370971.38</v>
      </c>
      <c r="I10">
        <v>373866.9599999999</v>
      </c>
      <c r="J10">
        <v>-91027.657875000092</v>
      </c>
      <c r="K10">
        <v>-93923.237874999992</v>
      </c>
      <c r="L10" t="s">
        <v>48</v>
      </c>
      <c r="M10">
        <v>8760</v>
      </c>
      <c r="N10">
        <v>381</v>
      </c>
      <c r="O10" t="s">
        <v>49</v>
      </c>
      <c r="P10" t="s">
        <v>50</v>
      </c>
      <c r="Q10" t="s">
        <v>51</v>
      </c>
      <c r="R10" t="s">
        <v>51</v>
      </c>
      <c r="T10" t="s">
        <v>48</v>
      </c>
      <c r="U10">
        <v>8760</v>
      </c>
      <c r="V10">
        <v>2</v>
      </c>
      <c r="W10">
        <v>0.99942988157272339</v>
      </c>
      <c r="X10">
        <v>0.9994298907958693</v>
      </c>
      <c r="Y10">
        <v>0.99911278486251831</v>
      </c>
      <c r="Z10">
        <v>0.99974697828292847</v>
      </c>
      <c r="AA10">
        <f t="shared" si="0"/>
        <v>-0.19580277846855057</v>
      </c>
      <c r="AB10">
        <f t="shared" si="1"/>
        <v>-0.2020312437780338</v>
      </c>
    </row>
    <row r="11" spans="1:28" x14ac:dyDescent="0.3">
      <c r="A11" t="s">
        <v>3</v>
      </c>
      <c r="B11" t="s">
        <v>60</v>
      </c>
      <c r="C11" t="s">
        <v>47</v>
      </c>
      <c r="D11">
        <v>149.52159396386301</v>
      </c>
      <c r="E11">
        <v>156.13999999999999</v>
      </c>
      <c r="F11">
        <v>149.52000000000001</v>
      </c>
      <c r="G11">
        <v>223808.647171875</v>
      </c>
      <c r="H11">
        <v>246496.7800000007</v>
      </c>
      <c r="I11">
        <v>241314.9200000003</v>
      </c>
      <c r="J11">
        <v>17506.272828125308</v>
      </c>
      <c r="K11">
        <v>22688.132828125701</v>
      </c>
      <c r="L11" t="s">
        <v>48</v>
      </c>
      <c r="M11">
        <v>8760</v>
      </c>
      <c r="N11">
        <v>243</v>
      </c>
      <c r="O11" t="s">
        <v>49</v>
      </c>
      <c r="P11" t="s">
        <v>50</v>
      </c>
      <c r="Q11" t="s">
        <v>51</v>
      </c>
      <c r="R11" t="s">
        <v>51</v>
      </c>
      <c r="T11" t="s">
        <v>48</v>
      </c>
      <c r="U11">
        <v>8760</v>
      </c>
      <c r="V11">
        <v>2</v>
      </c>
      <c r="W11">
        <v>0.97588244080543518</v>
      </c>
      <c r="X11">
        <v>0.975888662503548</v>
      </c>
      <c r="Y11">
        <v>0.97278767824172974</v>
      </c>
      <c r="Z11">
        <v>0.97897720336914063</v>
      </c>
      <c r="AA11">
        <f t="shared" si="0"/>
        <v>7.821982327019418E-2</v>
      </c>
      <c r="AB11">
        <f t="shared" si="1"/>
        <v>0.10137290544767126</v>
      </c>
    </row>
    <row r="12" spans="1:28" x14ac:dyDescent="0.3">
      <c r="A12" t="s">
        <v>3</v>
      </c>
      <c r="B12" t="s">
        <v>61</v>
      </c>
      <c r="C12" t="s">
        <v>47</v>
      </c>
      <c r="D12">
        <v>129.26577895712103</v>
      </c>
      <c r="E12">
        <v>133.26</v>
      </c>
      <c r="F12">
        <v>129.27000000000001</v>
      </c>
      <c r="G12">
        <v>220908.019171875</v>
      </c>
      <c r="H12">
        <v>212422.82999999967</v>
      </c>
      <c r="I12">
        <v>208763.80000000042</v>
      </c>
      <c r="J12">
        <v>-12144.219171874574</v>
      </c>
      <c r="K12">
        <v>-8485.1891718753322</v>
      </c>
      <c r="L12" t="s">
        <v>48</v>
      </c>
      <c r="M12">
        <v>8760</v>
      </c>
      <c r="N12">
        <v>213</v>
      </c>
      <c r="O12" t="s">
        <v>49</v>
      </c>
      <c r="P12" t="s">
        <v>50</v>
      </c>
      <c r="Q12" t="s">
        <v>51</v>
      </c>
      <c r="R12" t="s">
        <v>51</v>
      </c>
      <c r="T12" t="s">
        <v>48</v>
      </c>
      <c r="U12">
        <v>8760</v>
      </c>
      <c r="V12">
        <v>2</v>
      </c>
      <c r="W12">
        <v>0.99977627396583557</v>
      </c>
      <c r="X12">
        <v>0.99977623989419151</v>
      </c>
      <c r="Y12">
        <v>0.99960047006607056</v>
      </c>
      <c r="Z12">
        <v>0.99995207786560059</v>
      </c>
      <c r="AA12">
        <f t="shared" si="0"/>
        <v>-5.4974098348262772E-2</v>
      </c>
      <c r="AB12">
        <f t="shared" si="1"/>
        <v>-3.8410507702183169E-2</v>
      </c>
    </row>
    <row r="13" spans="1:28" x14ac:dyDescent="0.3">
      <c r="A13" t="s">
        <v>3</v>
      </c>
      <c r="B13" t="s">
        <v>62</v>
      </c>
      <c r="C13" t="s">
        <v>47</v>
      </c>
      <c r="D13">
        <v>444.59945262506358</v>
      </c>
      <c r="E13">
        <v>621.76</v>
      </c>
      <c r="F13">
        <v>443.97</v>
      </c>
      <c r="G13">
        <v>633405.12893750006</v>
      </c>
      <c r="H13">
        <v>700574.29999999772</v>
      </c>
      <c r="I13">
        <v>504605.9399999993</v>
      </c>
      <c r="J13">
        <v>-128799.18893750076</v>
      </c>
      <c r="K13">
        <v>67169.171062497655</v>
      </c>
      <c r="L13" t="s">
        <v>48</v>
      </c>
      <c r="M13">
        <v>8760</v>
      </c>
      <c r="N13">
        <v>734</v>
      </c>
      <c r="O13" t="s">
        <v>49</v>
      </c>
      <c r="P13" t="s">
        <v>50</v>
      </c>
      <c r="Q13" t="s">
        <v>51</v>
      </c>
      <c r="R13" t="s">
        <v>51</v>
      </c>
      <c r="T13" t="s">
        <v>48</v>
      </c>
      <c r="U13">
        <v>8760</v>
      </c>
      <c r="V13">
        <v>2</v>
      </c>
      <c r="W13">
        <v>0.92208954691886902</v>
      </c>
      <c r="X13">
        <v>0.9220818296890767</v>
      </c>
      <c r="Y13">
        <v>0.89163696765899658</v>
      </c>
      <c r="Z13">
        <v>0.95254212617874146</v>
      </c>
      <c r="AA13">
        <f t="shared" si="0"/>
        <v>-0.20334408904069634</v>
      </c>
      <c r="AB13">
        <f t="shared" si="1"/>
        <v>0.10604456451934641</v>
      </c>
    </row>
    <row r="14" spans="1:28" x14ac:dyDescent="0.3">
      <c r="A14" t="s">
        <v>3</v>
      </c>
      <c r="B14" t="s">
        <v>63</v>
      </c>
      <c r="C14" t="s">
        <v>47</v>
      </c>
      <c r="D14">
        <v>958.43553482867321</v>
      </c>
      <c r="E14">
        <v>960.91</v>
      </c>
      <c r="F14">
        <v>960.91</v>
      </c>
      <c r="G14">
        <v>2208990.5857812501</v>
      </c>
      <c r="H14">
        <v>1554813.999999997</v>
      </c>
      <c r="I14">
        <v>1554288.0600000049</v>
      </c>
      <c r="J14">
        <v>-654702.5257812452</v>
      </c>
      <c r="K14">
        <v>-654176.58578125318</v>
      </c>
      <c r="L14" t="s">
        <v>48</v>
      </c>
      <c r="M14">
        <v>8760</v>
      </c>
      <c r="N14">
        <v>1577</v>
      </c>
      <c r="O14" t="s">
        <v>49</v>
      </c>
      <c r="P14" t="s">
        <v>50</v>
      </c>
      <c r="Q14" t="s">
        <v>51</v>
      </c>
      <c r="R14" t="s">
        <v>51</v>
      </c>
      <c r="T14" t="s">
        <v>48</v>
      </c>
      <c r="U14">
        <v>8760</v>
      </c>
      <c r="AA14">
        <f t="shared" si="0"/>
        <v>-0.2963808582958255</v>
      </c>
      <c r="AB14">
        <f t="shared" si="1"/>
        <v>-0.2961427676478266</v>
      </c>
    </row>
    <row r="15" spans="1:28" x14ac:dyDescent="0.3">
      <c r="A15" t="s">
        <v>3</v>
      </c>
      <c r="B15" t="s">
        <v>64</v>
      </c>
      <c r="C15" t="s">
        <v>47</v>
      </c>
      <c r="D15">
        <v>455.0019764721348</v>
      </c>
      <c r="E15">
        <v>455</v>
      </c>
      <c r="F15">
        <v>455</v>
      </c>
      <c r="G15">
        <v>1111281.1632031251</v>
      </c>
      <c r="H15">
        <v>727119.19000000041</v>
      </c>
      <c r="I15">
        <v>727920.15999999782</v>
      </c>
      <c r="J15">
        <v>-383361.0032031273</v>
      </c>
      <c r="K15">
        <v>-384161.97320312471</v>
      </c>
      <c r="L15" t="s">
        <v>48</v>
      </c>
      <c r="M15">
        <v>8760</v>
      </c>
      <c r="N15">
        <v>750</v>
      </c>
      <c r="O15" t="s">
        <v>49</v>
      </c>
      <c r="P15" t="s">
        <v>50</v>
      </c>
      <c r="Q15" t="s">
        <v>51</v>
      </c>
      <c r="R15" t="s">
        <v>51</v>
      </c>
      <c r="T15" t="s">
        <v>48</v>
      </c>
      <c r="U15">
        <v>8760</v>
      </c>
      <c r="AA15">
        <f t="shared" si="0"/>
        <v>-0.34497210597733746</v>
      </c>
      <c r="AB15">
        <f t="shared" si="1"/>
        <v>-0.34569286866685223</v>
      </c>
    </row>
    <row r="16" spans="1:28" x14ac:dyDescent="0.3">
      <c r="A16" t="s">
        <v>3</v>
      </c>
      <c r="B16" t="s">
        <v>65</v>
      </c>
      <c r="C16" t="s">
        <v>47</v>
      </c>
      <c r="D16">
        <v>371.59109774118701</v>
      </c>
      <c r="E16">
        <v>400</v>
      </c>
      <c r="F16">
        <v>346.5</v>
      </c>
      <c r="G16">
        <v>692212.13587500004</v>
      </c>
      <c r="H16">
        <v>636840.58000000042</v>
      </c>
      <c r="I16">
        <v>553853.26999999955</v>
      </c>
      <c r="J16">
        <v>-138358.86587500048</v>
      </c>
      <c r="K16">
        <v>-55371.555874999613</v>
      </c>
      <c r="L16" t="s">
        <v>48</v>
      </c>
      <c r="M16">
        <v>8760</v>
      </c>
      <c r="N16">
        <v>612</v>
      </c>
      <c r="O16" t="s">
        <v>49</v>
      </c>
      <c r="P16" t="s">
        <v>50</v>
      </c>
      <c r="Q16" t="s">
        <v>51</v>
      </c>
      <c r="R16" t="s">
        <v>51</v>
      </c>
      <c r="T16" t="s">
        <v>48</v>
      </c>
      <c r="U16">
        <v>8760</v>
      </c>
      <c r="V16">
        <v>1</v>
      </c>
      <c r="W16">
        <v>0.97871816158294678</v>
      </c>
      <c r="X16">
        <v>0.97871816158294678</v>
      </c>
      <c r="Y16">
        <v>0.97871816158294678</v>
      </c>
      <c r="Z16">
        <v>0.97871816158294678</v>
      </c>
      <c r="AA16">
        <f t="shared" si="0"/>
        <v>-0.19987928368245972</v>
      </c>
      <c r="AB16">
        <f t="shared" si="1"/>
        <v>-7.9992177260813924E-2</v>
      </c>
    </row>
    <row r="17" spans="1:28" x14ac:dyDescent="0.3">
      <c r="A17" t="s">
        <v>3</v>
      </c>
      <c r="B17" t="s">
        <v>66</v>
      </c>
      <c r="C17" t="s">
        <v>47</v>
      </c>
      <c r="D17">
        <v>162.16593239298544</v>
      </c>
      <c r="E17">
        <v>124.59</v>
      </c>
      <c r="F17">
        <v>162.16999999999999</v>
      </c>
      <c r="G17">
        <v>143709.50975</v>
      </c>
      <c r="H17">
        <v>195743.62999999945</v>
      </c>
      <c r="I17">
        <v>261304.64000000025</v>
      </c>
      <c r="J17">
        <v>117595.13025000025</v>
      </c>
      <c r="K17">
        <v>52034.120249999454</v>
      </c>
      <c r="L17" t="s">
        <v>48</v>
      </c>
      <c r="M17">
        <v>8760</v>
      </c>
      <c r="N17">
        <v>267</v>
      </c>
      <c r="O17" t="s">
        <v>49</v>
      </c>
      <c r="P17" t="s">
        <v>50</v>
      </c>
      <c r="Q17" t="s">
        <v>51</v>
      </c>
      <c r="R17" t="s">
        <v>51</v>
      </c>
      <c r="T17" t="s">
        <v>48</v>
      </c>
      <c r="U17">
        <v>8760</v>
      </c>
      <c r="V17">
        <v>2</v>
      </c>
      <c r="W17">
        <v>0.8857114315032959</v>
      </c>
      <c r="X17">
        <v>0.84833525993733516</v>
      </c>
      <c r="Y17">
        <v>0.77377790212631226</v>
      </c>
      <c r="Z17">
        <v>0.99764496088027954</v>
      </c>
      <c r="AA17">
        <f t="shared" si="0"/>
        <v>0.81828356699964488</v>
      </c>
      <c r="AB17">
        <f t="shared" si="1"/>
        <v>0.3620784758122067</v>
      </c>
    </row>
    <row r="18" spans="1:28" x14ac:dyDescent="0.3">
      <c r="A18" t="s">
        <v>3</v>
      </c>
      <c r="B18" t="s">
        <v>67</v>
      </c>
      <c r="C18" t="s">
        <v>47</v>
      </c>
      <c r="D18">
        <v>572.23275289272749</v>
      </c>
      <c r="E18">
        <v>685.27</v>
      </c>
      <c r="F18">
        <v>567.14</v>
      </c>
      <c r="G18">
        <v>806045.13804687501</v>
      </c>
      <c r="H18">
        <v>632348.799999999</v>
      </c>
      <c r="I18">
        <v>634164.51999999885</v>
      </c>
      <c r="J18">
        <v>-171880.61804687616</v>
      </c>
      <c r="K18">
        <v>-173696.33804687602</v>
      </c>
      <c r="L18" t="s">
        <v>48</v>
      </c>
      <c r="M18">
        <v>8760</v>
      </c>
      <c r="N18">
        <v>945</v>
      </c>
      <c r="O18" t="s">
        <v>49</v>
      </c>
      <c r="P18" t="s">
        <v>50</v>
      </c>
      <c r="Q18" t="s">
        <v>51</v>
      </c>
      <c r="R18" t="s">
        <v>51</v>
      </c>
      <c r="T18" t="s">
        <v>48</v>
      </c>
      <c r="U18">
        <v>8760</v>
      </c>
      <c r="V18">
        <v>3</v>
      </c>
      <c r="W18">
        <v>0.69435695807139075</v>
      </c>
      <c r="X18">
        <v>0.65583518853221467</v>
      </c>
      <c r="Y18">
        <v>0.53858786821365356</v>
      </c>
      <c r="Z18">
        <v>0.93088489770889282</v>
      </c>
      <c r="AA18">
        <f t="shared" si="0"/>
        <v>-0.21323944520447013</v>
      </c>
      <c r="AB18">
        <f t="shared" si="1"/>
        <v>-0.21549207339400245</v>
      </c>
    </row>
    <row r="19" spans="1:28" x14ac:dyDescent="0.3">
      <c r="A19" t="s">
        <v>3</v>
      </c>
      <c r="B19" t="s">
        <v>68</v>
      </c>
      <c r="C19" t="s">
        <v>47</v>
      </c>
      <c r="D19">
        <v>429.52092512060261</v>
      </c>
      <c r="E19">
        <v>429.52</v>
      </c>
      <c r="F19">
        <v>429.52</v>
      </c>
      <c r="G19">
        <v>710850.03592187504</v>
      </c>
      <c r="H19">
        <v>690416.35000000056</v>
      </c>
      <c r="I19">
        <v>690731.87000000139</v>
      </c>
      <c r="J19">
        <v>-20118.165921873646</v>
      </c>
      <c r="K19">
        <v>-20433.685921874479</v>
      </c>
      <c r="L19" t="s">
        <v>48</v>
      </c>
      <c r="M19">
        <v>8760</v>
      </c>
      <c r="N19">
        <v>707</v>
      </c>
      <c r="O19" t="s">
        <v>49</v>
      </c>
      <c r="P19" t="s">
        <v>50</v>
      </c>
      <c r="Q19" t="s">
        <v>51</v>
      </c>
      <c r="R19" t="s">
        <v>51</v>
      </c>
      <c r="T19" t="s">
        <v>48</v>
      </c>
      <c r="U19">
        <v>8760</v>
      </c>
      <c r="AA19">
        <f t="shared" si="0"/>
        <v>-2.830156137754589E-2</v>
      </c>
      <c r="AB19">
        <f t="shared" si="1"/>
        <v>-2.8745424336055338E-2</v>
      </c>
    </row>
    <row r="20" spans="1:28" x14ac:dyDescent="0.3">
      <c r="A20" t="s">
        <v>3</v>
      </c>
      <c r="B20" t="s">
        <v>69</v>
      </c>
      <c r="C20" t="s">
        <v>47</v>
      </c>
      <c r="D20">
        <v>103.49055636195004</v>
      </c>
      <c r="E20">
        <v>104.33</v>
      </c>
      <c r="F20">
        <v>104.33</v>
      </c>
      <c r="G20">
        <v>130433.14386718751</v>
      </c>
      <c r="H20">
        <v>148531.33000000007</v>
      </c>
      <c r="I20">
        <v>148443.94999999995</v>
      </c>
      <c r="J20">
        <v>18010.806132812446</v>
      </c>
      <c r="K20">
        <v>18098.186132812567</v>
      </c>
      <c r="L20" t="s">
        <v>48</v>
      </c>
      <c r="M20">
        <v>8760</v>
      </c>
      <c r="N20">
        <v>169</v>
      </c>
      <c r="O20" t="s">
        <v>49</v>
      </c>
      <c r="P20" t="s">
        <v>50</v>
      </c>
      <c r="Q20" t="s">
        <v>51</v>
      </c>
      <c r="R20" t="s">
        <v>51</v>
      </c>
      <c r="T20" t="s">
        <v>48</v>
      </c>
      <c r="U20">
        <v>8760</v>
      </c>
      <c r="AA20">
        <f t="shared" si="0"/>
        <v>0.13808458186940431</v>
      </c>
      <c r="AB20">
        <f t="shared" si="1"/>
        <v>0.13875450361942435</v>
      </c>
    </row>
    <row r="21" spans="1:28" x14ac:dyDescent="0.3">
      <c r="A21" t="s">
        <v>3</v>
      </c>
      <c r="B21" t="s">
        <v>70</v>
      </c>
      <c r="C21" t="s">
        <v>47</v>
      </c>
      <c r="D21">
        <v>317.26215960714558</v>
      </c>
      <c r="E21">
        <v>318.05</v>
      </c>
      <c r="F21">
        <v>317.27</v>
      </c>
      <c r="G21">
        <v>683618.76718750002</v>
      </c>
      <c r="H21">
        <v>514594.90000000014</v>
      </c>
      <c r="I21">
        <v>513300.69999999925</v>
      </c>
      <c r="J21">
        <v>-170318.06718750077</v>
      </c>
      <c r="K21">
        <v>-169023.86718749988</v>
      </c>
      <c r="L21" t="s">
        <v>48</v>
      </c>
      <c r="M21">
        <v>8760</v>
      </c>
      <c r="N21">
        <v>522</v>
      </c>
      <c r="O21" t="s">
        <v>49</v>
      </c>
      <c r="P21" t="s">
        <v>50</v>
      </c>
      <c r="Q21" t="s">
        <v>51</v>
      </c>
      <c r="R21" t="s">
        <v>51</v>
      </c>
      <c r="T21" t="s">
        <v>48</v>
      </c>
      <c r="U21">
        <v>8760</v>
      </c>
      <c r="V21">
        <v>1</v>
      </c>
      <c r="W21">
        <v>0.99443382024765015</v>
      </c>
      <c r="X21">
        <v>0.99443382024765015</v>
      </c>
      <c r="Y21">
        <v>0.99443382024765015</v>
      </c>
      <c r="Z21">
        <v>0.99443382024765015</v>
      </c>
      <c r="AA21">
        <f t="shared" si="0"/>
        <v>-0.24914188340412641</v>
      </c>
      <c r="AB21">
        <f t="shared" si="1"/>
        <v>-0.24724872297302034</v>
      </c>
    </row>
    <row r="22" spans="1:28" x14ac:dyDescent="0.3">
      <c r="A22" t="s">
        <v>3</v>
      </c>
      <c r="B22" t="s">
        <v>71</v>
      </c>
      <c r="C22" t="s">
        <v>47</v>
      </c>
      <c r="D22">
        <v>335.13608332596033</v>
      </c>
      <c r="E22">
        <v>344.02</v>
      </c>
      <c r="F22">
        <v>335.14</v>
      </c>
      <c r="G22">
        <v>662205.67937500007</v>
      </c>
      <c r="H22">
        <v>539334.40999999957</v>
      </c>
      <c r="I22">
        <v>524100</v>
      </c>
      <c r="J22">
        <v>-138105.67937500007</v>
      </c>
      <c r="K22">
        <v>-122871.2693750005</v>
      </c>
      <c r="L22" t="s">
        <v>48</v>
      </c>
      <c r="M22">
        <v>8760</v>
      </c>
      <c r="N22">
        <v>551</v>
      </c>
      <c r="O22" t="s">
        <v>49</v>
      </c>
      <c r="P22" t="s">
        <v>50</v>
      </c>
      <c r="Q22" t="s">
        <v>51</v>
      </c>
      <c r="R22" t="s">
        <v>51</v>
      </c>
      <c r="T22" t="s">
        <v>48</v>
      </c>
      <c r="U22">
        <v>8760</v>
      </c>
      <c r="V22">
        <v>2</v>
      </c>
      <c r="W22">
        <v>0.68067178130149841</v>
      </c>
      <c r="X22">
        <v>0.68069720408415324</v>
      </c>
      <c r="Y22">
        <v>0.66486740112304688</v>
      </c>
      <c r="Z22">
        <v>0.69647616147994995</v>
      </c>
      <c r="AA22">
        <f t="shared" si="0"/>
        <v>-0.20855405454291231</v>
      </c>
      <c r="AB22">
        <f t="shared" si="1"/>
        <v>-0.18554849830186945</v>
      </c>
    </row>
    <row r="23" spans="1:28" x14ac:dyDescent="0.3">
      <c r="A23" t="s">
        <v>3</v>
      </c>
      <c r="B23" t="s">
        <v>72</v>
      </c>
      <c r="C23" t="s">
        <v>47</v>
      </c>
      <c r="D23">
        <v>453.13292020020572</v>
      </c>
      <c r="E23">
        <v>647.04999999999995</v>
      </c>
      <c r="F23">
        <v>445.77</v>
      </c>
      <c r="G23">
        <v>706778.22870312503</v>
      </c>
      <c r="H23">
        <v>1039851.9700000023</v>
      </c>
      <c r="I23">
        <v>718294.41999999993</v>
      </c>
      <c r="J23">
        <v>11516.191296874895</v>
      </c>
      <c r="K23">
        <v>333073.74129687727</v>
      </c>
      <c r="L23" t="s">
        <v>48</v>
      </c>
      <c r="M23">
        <v>8760</v>
      </c>
      <c r="N23">
        <v>745</v>
      </c>
      <c r="O23" t="s">
        <v>49</v>
      </c>
      <c r="P23" t="s">
        <v>50</v>
      </c>
      <c r="Q23" t="s">
        <v>51</v>
      </c>
      <c r="R23" t="s">
        <v>51</v>
      </c>
      <c r="T23" t="s">
        <v>48</v>
      </c>
      <c r="U23">
        <v>8760</v>
      </c>
      <c r="V23">
        <v>1</v>
      </c>
      <c r="W23">
        <v>0.9995267391204834</v>
      </c>
      <c r="X23">
        <v>0.9995267391204834</v>
      </c>
      <c r="Y23">
        <v>0.9995267391204834</v>
      </c>
      <c r="Z23">
        <v>0.9995267391204834</v>
      </c>
      <c r="AA23">
        <f t="shared" si="0"/>
        <v>1.6293924783175734E-2</v>
      </c>
      <c r="AB23">
        <f t="shared" si="1"/>
        <v>0.47125636836329532</v>
      </c>
    </row>
    <row r="24" spans="1:28" x14ac:dyDescent="0.3">
      <c r="A24" t="s">
        <v>3</v>
      </c>
      <c r="B24" t="s">
        <v>73</v>
      </c>
      <c r="C24" t="s">
        <v>47</v>
      </c>
      <c r="D24">
        <v>288.02707047506931</v>
      </c>
      <c r="E24">
        <v>288.02999999999997</v>
      </c>
      <c r="F24">
        <v>288.02999999999997</v>
      </c>
      <c r="G24">
        <v>471297.59137500002</v>
      </c>
      <c r="H24">
        <v>307465.01000000059</v>
      </c>
      <c r="I24">
        <v>306621.93000000005</v>
      </c>
      <c r="J24">
        <v>-164675.66137499997</v>
      </c>
      <c r="K24">
        <v>-163832.58137499943</v>
      </c>
      <c r="L24" t="s">
        <v>48</v>
      </c>
      <c r="M24">
        <v>8760</v>
      </c>
      <c r="N24">
        <v>476</v>
      </c>
      <c r="O24" t="s">
        <v>49</v>
      </c>
      <c r="P24" t="s">
        <v>50</v>
      </c>
      <c r="Q24" t="s">
        <v>51</v>
      </c>
      <c r="R24" t="s">
        <v>51</v>
      </c>
      <c r="T24" t="s">
        <v>48</v>
      </c>
      <c r="U24">
        <v>8760</v>
      </c>
      <c r="AA24">
        <f t="shared" si="0"/>
        <v>-0.34940908756728944</v>
      </c>
      <c r="AB24">
        <f t="shared" si="1"/>
        <v>-0.34762023904476486</v>
      </c>
    </row>
    <row r="25" spans="1:28" x14ac:dyDescent="0.3">
      <c r="A25" t="s">
        <v>3</v>
      </c>
      <c r="B25" t="s">
        <v>74</v>
      </c>
      <c r="C25" t="s">
        <v>47</v>
      </c>
      <c r="D25">
        <v>293.13160497324736</v>
      </c>
      <c r="E25">
        <v>293.33</v>
      </c>
      <c r="F25">
        <v>293.33</v>
      </c>
      <c r="G25">
        <v>540300.46600000001</v>
      </c>
      <c r="H25">
        <v>457955.40000000014</v>
      </c>
      <c r="I25">
        <v>474564.79000000033</v>
      </c>
      <c r="J25">
        <v>-65735.675999999687</v>
      </c>
      <c r="K25">
        <v>-82345.065999999875</v>
      </c>
      <c r="L25" t="s">
        <v>48</v>
      </c>
      <c r="M25">
        <v>8760</v>
      </c>
      <c r="N25">
        <v>482</v>
      </c>
      <c r="O25" t="s">
        <v>49</v>
      </c>
      <c r="P25" t="s">
        <v>50</v>
      </c>
      <c r="Q25" t="s">
        <v>51</v>
      </c>
      <c r="R25" t="s">
        <v>51</v>
      </c>
      <c r="T25" t="s">
        <v>48</v>
      </c>
      <c r="U25">
        <v>8760</v>
      </c>
      <c r="AA25">
        <f t="shared" si="0"/>
        <v>-0.1216650366538823</v>
      </c>
      <c r="AB25">
        <f t="shared" si="1"/>
        <v>-0.15240606140806082</v>
      </c>
    </row>
    <row r="26" spans="1:28" x14ac:dyDescent="0.3">
      <c r="A26" t="s">
        <v>3</v>
      </c>
      <c r="B26" t="s">
        <v>75</v>
      </c>
      <c r="C26" t="s">
        <v>47</v>
      </c>
      <c r="D26">
        <v>301.58986332378305</v>
      </c>
      <c r="E26">
        <v>306.68</v>
      </c>
      <c r="F26">
        <v>301.58999999999997</v>
      </c>
      <c r="G26">
        <v>503693.04684374999</v>
      </c>
      <c r="H26">
        <v>414112.69999999914</v>
      </c>
      <c r="I26">
        <v>413260.78999999992</v>
      </c>
      <c r="J26">
        <v>-90432.256843750074</v>
      </c>
      <c r="K26">
        <v>-89580.346843750856</v>
      </c>
      <c r="L26" t="s">
        <v>48</v>
      </c>
      <c r="M26">
        <v>8760</v>
      </c>
      <c r="N26">
        <v>498</v>
      </c>
      <c r="O26" t="s">
        <v>49</v>
      </c>
      <c r="P26" t="s">
        <v>50</v>
      </c>
      <c r="Q26" t="s">
        <v>51</v>
      </c>
      <c r="R26" t="s">
        <v>51</v>
      </c>
      <c r="T26" t="s">
        <v>48</v>
      </c>
      <c r="U26">
        <v>8760</v>
      </c>
      <c r="V26">
        <v>2</v>
      </c>
      <c r="W26">
        <v>0.83037668466567993</v>
      </c>
      <c r="X26">
        <v>0.83024114515207703</v>
      </c>
      <c r="Y26">
        <v>0.66767752170562744</v>
      </c>
      <c r="Z26">
        <v>0.99307584762573242</v>
      </c>
      <c r="AA26">
        <f t="shared" si="0"/>
        <v>-0.17953842605217252</v>
      </c>
      <c r="AB26">
        <f t="shared" si="1"/>
        <v>-0.17784709835698698</v>
      </c>
    </row>
    <row r="27" spans="1:28" x14ac:dyDescent="0.3">
      <c r="A27" t="s">
        <v>3</v>
      </c>
      <c r="B27" t="s">
        <v>76</v>
      </c>
      <c r="C27" t="s">
        <v>47</v>
      </c>
      <c r="D27">
        <v>378.399470896239</v>
      </c>
      <c r="E27">
        <v>407.85</v>
      </c>
      <c r="F27">
        <v>349.88</v>
      </c>
      <c r="G27">
        <v>718593.76621093752</v>
      </c>
      <c r="H27">
        <v>368954.73000000144</v>
      </c>
      <c r="I27">
        <v>355176.63000000099</v>
      </c>
      <c r="J27">
        <v>-363417.13621093653</v>
      </c>
      <c r="K27">
        <v>-349639.03621093609</v>
      </c>
      <c r="L27" t="s">
        <v>48</v>
      </c>
      <c r="M27">
        <v>8760</v>
      </c>
      <c r="N27">
        <v>625</v>
      </c>
      <c r="O27" t="s">
        <v>49</v>
      </c>
      <c r="P27" t="s">
        <v>50</v>
      </c>
      <c r="Q27" t="s">
        <v>51</v>
      </c>
      <c r="R27" t="s">
        <v>51</v>
      </c>
      <c r="T27" t="s">
        <v>48</v>
      </c>
      <c r="U27">
        <v>8760</v>
      </c>
      <c r="V27">
        <v>1</v>
      </c>
      <c r="W27">
        <v>0.99424535036087036</v>
      </c>
      <c r="X27">
        <v>0.99424535036087036</v>
      </c>
      <c r="Y27">
        <v>0.99424535036087036</v>
      </c>
      <c r="Z27">
        <v>0.99424535036087036</v>
      </c>
      <c r="AA27">
        <f t="shared" si="0"/>
        <v>-0.50573377240272122</v>
      </c>
      <c r="AB27">
        <f t="shared" si="1"/>
        <v>-0.48656007420512787</v>
      </c>
    </row>
    <row r="28" spans="1:28" x14ac:dyDescent="0.3">
      <c r="A28" t="s">
        <v>3</v>
      </c>
      <c r="B28" t="s">
        <v>77</v>
      </c>
      <c r="C28" t="s">
        <v>47</v>
      </c>
      <c r="D28">
        <v>345.96378225826004</v>
      </c>
      <c r="E28">
        <v>368.29</v>
      </c>
      <c r="F28">
        <v>345.9</v>
      </c>
      <c r="G28">
        <v>636618.80045312503</v>
      </c>
      <c r="H28">
        <v>588828.53000000096</v>
      </c>
      <c r="I28">
        <v>559730.05000000075</v>
      </c>
      <c r="J28">
        <v>-76888.750453124288</v>
      </c>
      <c r="K28">
        <v>-47790.270453124074</v>
      </c>
      <c r="L28" t="s">
        <v>48</v>
      </c>
      <c r="M28">
        <v>8760</v>
      </c>
      <c r="N28">
        <v>573</v>
      </c>
      <c r="O28" t="s">
        <v>49</v>
      </c>
      <c r="P28" t="s">
        <v>50</v>
      </c>
      <c r="Q28" t="s">
        <v>51</v>
      </c>
      <c r="R28" t="s">
        <v>51</v>
      </c>
      <c r="T28" t="s">
        <v>48</v>
      </c>
      <c r="U28">
        <v>8760</v>
      </c>
      <c r="V28">
        <v>2</v>
      </c>
      <c r="W28">
        <v>0.68067637085914612</v>
      </c>
      <c r="X28">
        <v>0.68044737677956413</v>
      </c>
      <c r="Y28">
        <v>0.56510031223297119</v>
      </c>
      <c r="Z28">
        <v>0.79625242948532104</v>
      </c>
      <c r="AA28">
        <f t="shared" si="0"/>
        <v>-0.12077675117102624</v>
      </c>
      <c r="AB28">
        <f t="shared" si="1"/>
        <v>-7.5068895890458273E-2</v>
      </c>
    </row>
    <row r="29" spans="1:28" x14ac:dyDescent="0.3">
      <c r="A29" t="s">
        <v>3</v>
      </c>
      <c r="B29" t="s">
        <v>78</v>
      </c>
      <c r="C29" t="s">
        <v>47</v>
      </c>
      <c r="D29">
        <v>598.1213934422376</v>
      </c>
      <c r="E29">
        <v>598.12</v>
      </c>
      <c r="F29">
        <v>598.12</v>
      </c>
      <c r="G29">
        <v>1239025.5689062499</v>
      </c>
      <c r="H29">
        <v>968246.06000000087</v>
      </c>
      <c r="I29">
        <v>966984.08999999927</v>
      </c>
      <c r="J29">
        <v>-272041.47890625068</v>
      </c>
      <c r="K29">
        <v>-270779.50890624907</v>
      </c>
      <c r="L29" t="s">
        <v>48</v>
      </c>
      <c r="M29">
        <v>8760</v>
      </c>
      <c r="N29">
        <v>986</v>
      </c>
      <c r="O29" t="s">
        <v>49</v>
      </c>
      <c r="P29" t="s">
        <v>50</v>
      </c>
      <c r="Q29" t="s">
        <v>51</v>
      </c>
      <c r="R29" t="s">
        <v>51</v>
      </c>
      <c r="T29" t="s">
        <v>48</v>
      </c>
      <c r="U29">
        <v>8760</v>
      </c>
      <c r="AA29">
        <f t="shared" si="0"/>
        <v>-0.21956082726072823</v>
      </c>
      <c r="AB29">
        <f t="shared" si="1"/>
        <v>-0.21854230913513734</v>
      </c>
    </row>
    <row r="30" spans="1:28" x14ac:dyDescent="0.3">
      <c r="A30" t="s">
        <v>3</v>
      </c>
      <c r="B30" t="s">
        <v>79</v>
      </c>
      <c r="C30" t="s">
        <v>47</v>
      </c>
      <c r="D30">
        <v>406.37751006617913</v>
      </c>
      <c r="E30">
        <v>1743.51</v>
      </c>
      <c r="F30">
        <v>401.04</v>
      </c>
      <c r="G30">
        <v>698557.30709374999</v>
      </c>
      <c r="H30">
        <v>2560117.0999999978</v>
      </c>
      <c r="I30">
        <v>617356.80000000051</v>
      </c>
      <c r="J30">
        <v>-81200.507093749475</v>
      </c>
      <c r="K30">
        <v>1861559.7929062478</v>
      </c>
      <c r="L30" t="s">
        <v>48</v>
      </c>
      <c r="M30">
        <v>8760</v>
      </c>
      <c r="N30">
        <v>670</v>
      </c>
      <c r="O30" t="s">
        <v>49</v>
      </c>
      <c r="P30" t="s">
        <v>50</v>
      </c>
      <c r="Q30" t="s">
        <v>51</v>
      </c>
      <c r="R30" t="s">
        <v>51</v>
      </c>
      <c r="T30" t="s">
        <v>48</v>
      </c>
      <c r="U30">
        <v>8760</v>
      </c>
      <c r="V30">
        <v>2</v>
      </c>
      <c r="W30">
        <v>0.63920608162879944</v>
      </c>
      <c r="X30">
        <v>0.63875729223343913</v>
      </c>
      <c r="Y30">
        <v>0.52259701490402222</v>
      </c>
      <c r="Z30">
        <v>0.75581514835357666</v>
      </c>
      <c r="AA30">
        <f t="shared" si="0"/>
        <v>-0.1162402944886123</v>
      </c>
      <c r="AB30">
        <f t="shared" si="1"/>
        <v>2.6648633891627402</v>
      </c>
    </row>
    <row r="31" spans="1:28" x14ac:dyDescent="0.3">
      <c r="A31" t="s">
        <v>3</v>
      </c>
      <c r="B31" t="s">
        <v>80</v>
      </c>
      <c r="C31" t="s">
        <v>47</v>
      </c>
      <c r="D31">
        <v>267.69219008167317</v>
      </c>
      <c r="E31">
        <v>0</v>
      </c>
      <c r="F31">
        <v>0</v>
      </c>
      <c r="G31">
        <v>169499.44605468749</v>
      </c>
      <c r="H31">
        <v>0</v>
      </c>
      <c r="I31">
        <v>0</v>
      </c>
      <c r="J31">
        <v>-169499.44605468749</v>
      </c>
      <c r="K31">
        <v>-169499.44605468749</v>
      </c>
      <c r="L31" t="s">
        <v>48</v>
      </c>
      <c r="M31">
        <v>8760</v>
      </c>
      <c r="N31">
        <v>438</v>
      </c>
      <c r="O31" t="s">
        <v>49</v>
      </c>
      <c r="P31" t="s">
        <v>50</v>
      </c>
      <c r="Q31" t="s">
        <v>51</v>
      </c>
      <c r="R31" t="s">
        <v>51</v>
      </c>
      <c r="T31" t="s">
        <v>48</v>
      </c>
      <c r="U31">
        <v>8760</v>
      </c>
      <c r="AA31">
        <f t="shared" si="0"/>
        <v>-1</v>
      </c>
      <c r="AB31">
        <f t="shared" si="1"/>
        <v>-1</v>
      </c>
    </row>
    <row r="32" spans="1:28" x14ac:dyDescent="0.3">
      <c r="A32" t="s">
        <v>3</v>
      </c>
      <c r="B32" t="s">
        <v>81</v>
      </c>
      <c r="C32" t="s">
        <v>47</v>
      </c>
      <c r="D32">
        <v>1001.0919698779919</v>
      </c>
      <c r="E32">
        <v>1099.19</v>
      </c>
      <c r="F32">
        <v>985.88</v>
      </c>
      <c r="G32">
        <v>1961718.0701328125</v>
      </c>
      <c r="H32">
        <v>1778709.2199999997</v>
      </c>
      <c r="I32">
        <v>1596072.52</v>
      </c>
      <c r="J32">
        <v>-365645.55013281247</v>
      </c>
      <c r="K32">
        <v>-183008.85013281275</v>
      </c>
      <c r="L32" t="s">
        <v>48</v>
      </c>
      <c r="M32">
        <v>8760</v>
      </c>
      <c r="N32">
        <v>1649</v>
      </c>
      <c r="O32" t="s">
        <v>49</v>
      </c>
      <c r="P32" t="s">
        <v>50</v>
      </c>
      <c r="Q32" t="s">
        <v>51</v>
      </c>
      <c r="R32" t="s">
        <v>51</v>
      </c>
      <c r="T32" t="s">
        <v>48</v>
      </c>
      <c r="U32">
        <v>8760</v>
      </c>
      <c r="V32">
        <v>1</v>
      </c>
      <c r="W32">
        <v>0.99920684099197388</v>
      </c>
      <c r="X32">
        <v>0.99920684099197388</v>
      </c>
      <c r="Y32">
        <v>0.99920684099197388</v>
      </c>
      <c r="Z32">
        <v>0.99920684099197388</v>
      </c>
      <c r="AA32">
        <f t="shared" si="0"/>
        <v>-0.18639046848768512</v>
      </c>
      <c r="AB32">
        <f t="shared" si="1"/>
        <v>-9.3290087357161697E-2</v>
      </c>
    </row>
    <row r="33" spans="1:28" x14ac:dyDescent="0.3">
      <c r="A33" t="s">
        <v>3</v>
      </c>
      <c r="B33" t="s">
        <v>82</v>
      </c>
      <c r="C33" t="s">
        <v>47</v>
      </c>
      <c r="D33">
        <v>1079.0614351904087</v>
      </c>
      <c r="E33">
        <v>1742.15</v>
      </c>
      <c r="F33">
        <v>1088.27</v>
      </c>
      <c r="G33">
        <v>1926585.82259375</v>
      </c>
      <c r="H33">
        <v>2086412.7199999937</v>
      </c>
      <c r="I33">
        <v>1569805.1699999964</v>
      </c>
      <c r="J33">
        <v>-356780.65259375353</v>
      </c>
      <c r="K33">
        <v>159826.89740624372</v>
      </c>
      <c r="L33" t="s">
        <v>48</v>
      </c>
      <c r="M33">
        <v>8760</v>
      </c>
      <c r="N33">
        <v>1780</v>
      </c>
      <c r="O33" t="s">
        <v>49</v>
      </c>
      <c r="P33" t="s">
        <v>50</v>
      </c>
      <c r="Q33" t="s">
        <v>51</v>
      </c>
      <c r="R33" t="s">
        <v>51</v>
      </c>
      <c r="T33" t="s">
        <v>48</v>
      </c>
      <c r="U33">
        <v>8760</v>
      </c>
      <c r="V33">
        <v>1</v>
      </c>
      <c r="W33">
        <v>0.99608480930328369</v>
      </c>
      <c r="X33">
        <v>0.99608480930328369</v>
      </c>
      <c r="Y33">
        <v>0.99608480930328369</v>
      </c>
      <c r="Z33">
        <v>0.99608480930328369</v>
      </c>
      <c r="AA33">
        <f t="shared" si="0"/>
        <v>-0.1851880401120268</v>
      </c>
      <c r="AB33">
        <f t="shared" si="1"/>
        <v>8.2958618054746094E-2</v>
      </c>
    </row>
    <row r="34" spans="1:28" x14ac:dyDescent="0.3">
      <c r="A34" t="s">
        <v>3</v>
      </c>
      <c r="B34" t="s">
        <v>83</v>
      </c>
      <c r="C34" t="s">
        <v>47</v>
      </c>
      <c r="D34">
        <v>269.30353759228592</v>
      </c>
      <c r="E34">
        <v>274.08999999999997</v>
      </c>
      <c r="F34">
        <v>269.31</v>
      </c>
      <c r="G34">
        <v>527758.71187500004</v>
      </c>
      <c r="H34">
        <v>433853.79999999952</v>
      </c>
      <c r="I34">
        <v>433620.50000000035</v>
      </c>
      <c r="J34">
        <v>-94138.211874999688</v>
      </c>
      <c r="K34">
        <v>-93904.911875000515</v>
      </c>
      <c r="L34" t="s">
        <v>48</v>
      </c>
      <c r="M34">
        <v>8760</v>
      </c>
      <c r="N34">
        <v>443</v>
      </c>
      <c r="O34" t="s">
        <v>49</v>
      </c>
      <c r="P34" t="s">
        <v>50</v>
      </c>
      <c r="Q34" t="s">
        <v>51</v>
      </c>
      <c r="R34" t="s">
        <v>51</v>
      </c>
      <c r="T34" t="s">
        <v>48</v>
      </c>
      <c r="U34">
        <v>8760</v>
      </c>
      <c r="V34">
        <v>2</v>
      </c>
      <c r="W34">
        <v>0.91293025016784668</v>
      </c>
      <c r="X34">
        <v>0.9130200515835063</v>
      </c>
      <c r="Y34">
        <v>0.83711767196655273</v>
      </c>
      <c r="Z34">
        <v>0.98874282836914063</v>
      </c>
      <c r="AA34">
        <f t="shared" si="0"/>
        <v>-0.17837358201165304</v>
      </c>
      <c r="AB34">
        <f t="shared" si="1"/>
        <v>-0.17793152393710168</v>
      </c>
    </row>
    <row r="35" spans="1:28" x14ac:dyDescent="0.3">
      <c r="A35" t="s">
        <v>3</v>
      </c>
      <c r="B35" t="s">
        <v>84</v>
      </c>
      <c r="C35" t="s">
        <v>47</v>
      </c>
      <c r="D35">
        <v>328.73389329523229</v>
      </c>
      <c r="E35">
        <v>336.33</v>
      </c>
      <c r="F35">
        <v>328.73</v>
      </c>
      <c r="G35">
        <v>603713.60976562498</v>
      </c>
      <c r="H35">
        <v>478260.99999999825</v>
      </c>
      <c r="I35">
        <v>471502.04000000085</v>
      </c>
      <c r="J35">
        <v>-132211.56976562412</v>
      </c>
      <c r="K35">
        <v>-125452.60976562672</v>
      </c>
      <c r="L35" t="s">
        <v>48</v>
      </c>
      <c r="M35">
        <v>8760</v>
      </c>
      <c r="N35">
        <v>541</v>
      </c>
      <c r="O35" t="s">
        <v>49</v>
      </c>
      <c r="P35" t="s">
        <v>50</v>
      </c>
      <c r="Q35" t="s">
        <v>51</v>
      </c>
      <c r="R35" t="s">
        <v>51</v>
      </c>
      <c r="T35" t="s">
        <v>48</v>
      </c>
      <c r="U35">
        <v>8760</v>
      </c>
      <c r="V35">
        <v>2</v>
      </c>
      <c r="W35">
        <v>0.99595853686332703</v>
      </c>
      <c r="X35">
        <v>0.9959571680978806</v>
      </c>
      <c r="Y35">
        <v>0.99349504709243774</v>
      </c>
      <c r="Z35">
        <v>0.99842202663421631</v>
      </c>
      <c r="AA35">
        <f t="shared" si="0"/>
        <v>-0.21899716625065252</v>
      </c>
      <c r="AB35">
        <f t="shared" si="1"/>
        <v>-0.20780152664494381</v>
      </c>
    </row>
    <row r="36" spans="1:28" x14ac:dyDescent="0.3">
      <c r="A36" t="s">
        <v>3</v>
      </c>
      <c r="B36" t="s">
        <v>85</v>
      </c>
      <c r="C36" t="s">
        <v>47</v>
      </c>
      <c r="D36">
        <v>247.20407091600435</v>
      </c>
      <c r="E36">
        <v>256.08999999999997</v>
      </c>
      <c r="F36">
        <v>247.2</v>
      </c>
      <c r="G36">
        <v>470408.067265625</v>
      </c>
      <c r="H36">
        <v>403206.28999999847</v>
      </c>
      <c r="I36">
        <v>393128.19000000053</v>
      </c>
      <c r="J36">
        <v>-77279.877265624469</v>
      </c>
      <c r="K36">
        <v>-67201.77726562653</v>
      </c>
      <c r="L36" t="s">
        <v>48</v>
      </c>
      <c r="M36">
        <v>8760</v>
      </c>
      <c r="N36">
        <v>408</v>
      </c>
      <c r="O36" t="s">
        <v>49</v>
      </c>
      <c r="P36" t="s">
        <v>50</v>
      </c>
      <c r="Q36" t="s">
        <v>51</v>
      </c>
      <c r="R36" t="s">
        <v>51</v>
      </c>
      <c r="T36" t="s">
        <v>48</v>
      </c>
      <c r="U36">
        <v>8760</v>
      </c>
      <c r="V36">
        <v>2</v>
      </c>
      <c r="W36">
        <v>0.9824853241443634</v>
      </c>
      <c r="X36">
        <v>0.982481669800224</v>
      </c>
      <c r="Y36">
        <v>0.97793763875961304</v>
      </c>
      <c r="Z36">
        <v>0.98703300952911377</v>
      </c>
      <c r="AA36">
        <f t="shared" si="0"/>
        <v>-0.16428263595655321</v>
      </c>
      <c r="AB36">
        <f t="shared" si="1"/>
        <v>-0.14285847106376207</v>
      </c>
    </row>
    <row r="37" spans="1:28" x14ac:dyDescent="0.3">
      <c r="A37" t="s">
        <v>3</v>
      </c>
      <c r="B37" t="s">
        <v>86</v>
      </c>
      <c r="C37" t="s">
        <v>47</v>
      </c>
      <c r="D37">
        <v>240.40067946008026</v>
      </c>
      <c r="E37">
        <v>254.16</v>
      </c>
      <c r="F37">
        <v>235.55</v>
      </c>
      <c r="G37">
        <v>423540.57104687503</v>
      </c>
      <c r="H37">
        <v>398079.11999999959</v>
      </c>
      <c r="I37">
        <v>373577.08999999944</v>
      </c>
      <c r="J37">
        <v>-49963.48104687559</v>
      </c>
      <c r="K37">
        <v>-25461.451046875445</v>
      </c>
      <c r="L37" t="s">
        <v>48</v>
      </c>
      <c r="M37">
        <v>8760</v>
      </c>
      <c r="N37">
        <v>396</v>
      </c>
      <c r="O37" t="s">
        <v>49</v>
      </c>
      <c r="P37" t="s">
        <v>50</v>
      </c>
      <c r="Q37" t="s">
        <v>51</v>
      </c>
      <c r="R37" t="s">
        <v>51</v>
      </c>
      <c r="T37" t="s">
        <v>48</v>
      </c>
      <c r="U37">
        <v>8760</v>
      </c>
      <c r="V37">
        <v>2</v>
      </c>
      <c r="W37">
        <v>0.99751543998718262</v>
      </c>
      <c r="X37">
        <v>0.99751453789290512</v>
      </c>
      <c r="Y37">
        <v>0.99556630849838257</v>
      </c>
      <c r="Z37">
        <v>0.99946457147598267</v>
      </c>
      <c r="AA37">
        <f t="shared" si="0"/>
        <v>-0.11796622203955502</v>
      </c>
      <c r="AB37">
        <f t="shared" si="1"/>
        <v>-6.0115731024165613E-2</v>
      </c>
    </row>
    <row r="38" spans="1:28" x14ac:dyDescent="0.3">
      <c r="A38" t="s">
        <v>3</v>
      </c>
      <c r="B38" t="s">
        <v>87</v>
      </c>
      <c r="C38" t="s">
        <v>47</v>
      </c>
      <c r="D38">
        <v>236.53565847167931</v>
      </c>
      <c r="E38">
        <v>240.43</v>
      </c>
      <c r="F38">
        <v>236.54</v>
      </c>
      <c r="G38">
        <v>410367.14925000002</v>
      </c>
      <c r="H38">
        <v>386325.82000000059</v>
      </c>
      <c r="I38">
        <v>382749.35000000166</v>
      </c>
      <c r="J38">
        <v>-27617.799249998352</v>
      </c>
      <c r="K38">
        <v>-24041.329249999428</v>
      </c>
      <c r="L38" t="s">
        <v>48</v>
      </c>
      <c r="M38">
        <v>8760</v>
      </c>
      <c r="N38">
        <v>390</v>
      </c>
      <c r="O38" t="s">
        <v>49</v>
      </c>
      <c r="P38" t="s">
        <v>50</v>
      </c>
      <c r="Q38" t="s">
        <v>51</v>
      </c>
      <c r="R38" t="s">
        <v>51</v>
      </c>
      <c r="T38" t="s">
        <v>48</v>
      </c>
      <c r="U38">
        <v>8760</v>
      </c>
      <c r="V38">
        <v>2</v>
      </c>
      <c r="W38">
        <v>0.92978858947753906</v>
      </c>
      <c r="X38">
        <v>0.92978054423228573</v>
      </c>
      <c r="Y38">
        <v>0.86263447999954224</v>
      </c>
      <c r="Z38">
        <v>0.99694269895553589</v>
      </c>
      <c r="AA38">
        <f t="shared" si="0"/>
        <v>-6.7300219572822811E-2</v>
      </c>
      <c r="AB38">
        <f t="shared" si="1"/>
        <v>-5.8584926434628412E-2</v>
      </c>
    </row>
    <row r="39" spans="1:28" x14ac:dyDescent="0.3">
      <c r="A39" t="s">
        <v>3</v>
      </c>
      <c r="B39" t="s">
        <v>88</v>
      </c>
      <c r="C39" t="s">
        <v>47</v>
      </c>
      <c r="D39">
        <v>268.49835970374153</v>
      </c>
      <c r="E39">
        <v>274.02999999999997</v>
      </c>
      <c r="F39">
        <v>268.5</v>
      </c>
      <c r="G39">
        <v>618517.75745312497</v>
      </c>
      <c r="H39">
        <v>411015.1099999983</v>
      </c>
      <c r="I39">
        <v>410329.4699999998</v>
      </c>
      <c r="J39">
        <v>-208188.28745312517</v>
      </c>
      <c r="K39">
        <v>-207502.64745312667</v>
      </c>
      <c r="L39" t="s">
        <v>48</v>
      </c>
      <c r="M39">
        <v>8760</v>
      </c>
      <c r="N39">
        <v>443</v>
      </c>
      <c r="O39" t="s">
        <v>49</v>
      </c>
      <c r="P39" t="s">
        <v>50</v>
      </c>
      <c r="Q39" t="s">
        <v>51</v>
      </c>
      <c r="R39" t="s">
        <v>51</v>
      </c>
      <c r="T39" t="s">
        <v>48</v>
      </c>
      <c r="U39">
        <v>8760</v>
      </c>
      <c r="V39">
        <v>2</v>
      </c>
      <c r="W39">
        <v>0.9948030412197113</v>
      </c>
      <c r="X39">
        <v>0.99480396241648783</v>
      </c>
      <c r="Y39">
        <v>0.99164456129074097</v>
      </c>
      <c r="Z39">
        <v>0.99796152114868164</v>
      </c>
      <c r="AA39">
        <f t="shared" si="0"/>
        <v>-0.3365922561550756</v>
      </c>
      <c r="AB39">
        <f t="shared" si="1"/>
        <v>-0.33548373503060253</v>
      </c>
    </row>
    <row r="40" spans="1:28" x14ac:dyDescent="0.3">
      <c r="A40" t="s">
        <v>3</v>
      </c>
      <c r="B40" t="s">
        <v>89</v>
      </c>
      <c r="C40" t="s">
        <v>47</v>
      </c>
      <c r="D40">
        <v>288.87845272200462</v>
      </c>
      <c r="E40">
        <v>293.88</v>
      </c>
      <c r="F40">
        <v>288.88</v>
      </c>
      <c r="G40">
        <v>621515.54177343752</v>
      </c>
      <c r="H40">
        <v>464066.70999999956</v>
      </c>
      <c r="I40">
        <v>464958.26999999932</v>
      </c>
      <c r="J40">
        <v>-156557.2717734382</v>
      </c>
      <c r="K40">
        <v>-157448.83177343797</v>
      </c>
      <c r="L40" t="s">
        <v>48</v>
      </c>
      <c r="M40">
        <v>8760</v>
      </c>
      <c r="N40">
        <v>476</v>
      </c>
      <c r="O40" t="s">
        <v>49</v>
      </c>
      <c r="P40" t="s">
        <v>50</v>
      </c>
      <c r="Q40" t="s">
        <v>51</v>
      </c>
      <c r="R40" t="s">
        <v>51</v>
      </c>
      <c r="T40" t="s">
        <v>48</v>
      </c>
      <c r="U40">
        <v>8760</v>
      </c>
      <c r="V40">
        <v>2</v>
      </c>
      <c r="W40">
        <v>0.98534098267555237</v>
      </c>
      <c r="X40">
        <v>0.98535159184601817</v>
      </c>
      <c r="Y40">
        <v>0.97327101230621338</v>
      </c>
      <c r="Z40">
        <v>0.99741095304489136</v>
      </c>
      <c r="AA40">
        <f t="shared" si="0"/>
        <v>-0.25189598851658063</v>
      </c>
      <c r="AB40">
        <f t="shared" si="1"/>
        <v>-0.25333048200882025</v>
      </c>
    </row>
    <row r="41" spans="1:28" x14ac:dyDescent="0.3">
      <c r="A41" t="s">
        <v>3</v>
      </c>
      <c r="B41" t="s">
        <v>90</v>
      </c>
      <c r="C41" t="s">
        <v>47</v>
      </c>
      <c r="D41">
        <v>242.67824041891254</v>
      </c>
      <c r="E41">
        <v>253.68</v>
      </c>
      <c r="F41">
        <v>242.68</v>
      </c>
      <c r="G41">
        <v>552589.73591406248</v>
      </c>
      <c r="H41">
        <v>400987.11999999947</v>
      </c>
      <c r="I41">
        <v>391482.18999999913</v>
      </c>
      <c r="J41">
        <v>-161107.54591406335</v>
      </c>
      <c r="K41">
        <v>-151602.615914063</v>
      </c>
      <c r="L41" t="s">
        <v>48</v>
      </c>
      <c r="M41">
        <v>8760</v>
      </c>
      <c r="N41">
        <v>399</v>
      </c>
      <c r="O41" t="s">
        <v>49</v>
      </c>
      <c r="P41" t="s">
        <v>50</v>
      </c>
      <c r="Q41" t="s">
        <v>51</v>
      </c>
      <c r="R41" t="s">
        <v>51</v>
      </c>
      <c r="T41" t="s">
        <v>48</v>
      </c>
      <c r="U41">
        <v>8760</v>
      </c>
      <c r="V41">
        <v>2</v>
      </c>
      <c r="W41">
        <v>0.99983885884284973</v>
      </c>
      <c r="X41">
        <v>0.99983877805633292</v>
      </c>
      <c r="Y41">
        <v>0.99970275163650513</v>
      </c>
      <c r="Z41">
        <v>0.99997496604919434</v>
      </c>
      <c r="AA41">
        <f t="shared" si="0"/>
        <v>-0.29155001521620449</v>
      </c>
      <c r="AB41">
        <f t="shared" si="1"/>
        <v>-0.27434931570578414</v>
      </c>
    </row>
    <row r="42" spans="1:28" x14ac:dyDescent="0.3">
      <c r="A42" t="s">
        <v>3</v>
      </c>
      <c r="B42" t="s">
        <v>91</v>
      </c>
      <c r="C42" t="s">
        <v>47</v>
      </c>
      <c r="D42">
        <v>306.64880345119673</v>
      </c>
      <c r="E42">
        <v>310.77999999999997</v>
      </c>
      <c r="F42">
        <v>306.64999999999998</v>
      </c>
      <c r="G42">
        <v>548681.56402343756</v>
      </c>
      <c r="H42">
        <v>462434.49999999988</v>
      </c>
      <c r="I42">
        <v>457132.42999999778</v>
      </c>
      <c r="J42">
        <v>-91549.134023439779</v>
      </c>
      <c r="K42">
        <v>-86247.064023437677</v>
      </c>
      <c r="L42" t="s">
        <v>48</v>
      </c>
      <c r="M42">
        <v>8760</v>
      </c>
      <c r="N42">
        <v>506</v>
      </c>
      <c r="O42" t="s">
        <v>49</v>
      </c>
      <c r="P42" t="s">
        <v>50</v>
      </c>
      <c r="Q42" t="s">
        <v>51</v>
      </c>
      <c r="R42" t="s">
        <v>51</v>
      </c>
      <c r="T42" t="s">
        <v>48</v>
      </c>
      <c r="U42">
        <v>8760</v>
      </c>
      <c r="V42">
        <v>2</v>
      </c>
      <c r="W42">
        <v>0.99964568018913269</v>
      </c>
      <c r="X42">
        <v>0.99964549329116048</v>
      </c>
      <c r="Y42">
        <v>0.99950122833251953</v>
      </c>
      <c r="Z42">
        <v>0.99979013204574585</v>
      </c>
      <c r="AA42">
        <f t="shared" si="0"/>
        <v>-0.16685294353999683</v>
      </c>
      <c r="AB42">
        <f t="shared" si="1"/>
        <v>-0.15718965184650077</v>
      </c>
    </row>
    <row r="43" spans="1:28" x14ac:dyDescent="0.3">
      <c r="A43" t="s">
        <v>3</v>
      </c>
      <c r="B43" t="s">
        <v>92</v>
      </c>
      <c r="C43" t="s">
        <v>47</v>
      </c>
      <c r="D43">
        <v>247.83780582819261</v>
      </c>
      <c r="E43">
        <v>254.44</v>
      </c>
      <c r="F43">
        <v>247.84</v>
      </c>
      <c r="G43">
        <v>545879.71085937496</v>
      </c>
      <c r="H43">
        <v>405174.86000000074</v>
      </c>
      <c r="I43">
        <v>399362.54999999981</v>
      </c>
      <c r="J43">
        <v>-146517.16085937514</v>
      </c>
      <c r="K43">
        <v>-140704.85085937422</v>
      </c>
      <c r="L43" t="s">
        <v>48</v>
      </c>
      <c r="M43">
        <v>8760</v>
      </c>
      <c r="N43">
        <v>409</v>
      </c>
      <c r="O43" t="s">
        <v>49</v>
      </c>
      <c r="P43" t="s">
        <v>50</v>
      </c>
      <c r="Q43" t="s">
        <v>51</v>
      </c>
      <c r="R43" t="s">
        <v>51</v>
      </c>
      <c r="T43" t="s">
        <v>48</v>
      </c>
      <c r="U43">
        <v>8760</v>
      </c>
      <c r="V43">
        <v>2</v>
      </c>
      <c r="W43">
        <v>0.99994784593582153</v>
      </c>
      <c r="X43">
        <v>0.99994782118092607</v>
      </c>
      <c r="Y43">
        <v>0.99991440773010254</v>
      </c>
      <c r="Z43">
        <v>0.99998128414154053</v>
      </c>
      <c r="AA43">
        <f t="shared" si="0"/>
        <v>-0.26840558083522487</v>
      </c>
      <c r="AB43">
        <f t="shared" si="1"/>
        <v>-0.2577579786540582</v>
      </c>
    </row>
    <row r="44" spans="1:28" x14ac:dyDescent="0.3">
      <c r="A44" t="s">
        <v>3</v>
      </c>
      <c r="B44" t="s">
        <v>93</v>
      </c>
      <c r="C44" t="s">
        <v>47</v>
      </c>
      <c r="D44">
        <v>252.7563713998658</v>
      </c>
      <c r="E44">
        <v>263.05</v>
      </c>
      <c r="F44">
        <v>252.76</v>
      </c>
      <c r="G44">
        <v>506875.1687421875</v>
      </c>
      <c r="H44">
        <v>415920.34999999951</v>
      </c>
      <c r="I44">
        <v>404881.17999999964</v>
      </c>
      <c r="J44">
        <v>-101993.98874218785</v>
      </c>
      <c r="K44">
        <v>-90954.818742187985</v>
      </c>
      <c r="L44" t="s">
        <v>48</v>
      </c>
      <c r="M44">
        <v>8760</v>
      </c>
      <c r="N44">
        <v>418</v>
      </c>
      <c r="O44" t="s">
        <v>49</v>
      </c>
      <c r="P44" t="s">
        <v>50</v>
      </c>
      <c r="Q44" t="s">
        <v>51</v>
      </c>
      <c r="R44" t="s">
        <v>51</v>
      </c>
      <c r="T44" t="s">
        <v>48</v>
      </c>
      <c r="U44">
        <v>8760</v>
      </c>
      <c r="V44">
        <v>2</v>
      </c>
      <c r="W44">
        <v>0.9998289942741394</v>
      </c>
      <c r="X44">
        <v>0.99982895688119766</v>
      </c>
      <c r="Y44">
        <v>0.99967825412750244</v>
      </c>
      <c r="Z44">
        <v>0.99997973442077637</v>
      </c>
      <c r="AA44">
        <f t="shared" si="0"/>
        <v>-0.20122111918657662</v>
      </c>
      <c r="AB44">
        <f t="shared" si="1"/>
        <v>-0.17944224604233955</v>
      </c>
    </row>
    <row r="45" spans="1:28" x14ac:dyDescent="0.3">
      <c r="A45" t="s">
        <v>3</v>
      </c>
      <c r="B45" t="s">
        <v>94</v>
      </c>
      <c r="C45" t="s">
        <v>47</v>
      </c>
      <c r="D45">
        <v>195.31994027700691</v>
      </c>
      <c r="E45">
        <v>198.21</v>
      </c>
      <c r="F45">
        <v>195.32</v>
      </c>
      <c r="G45">
        <v>265617.65953125001</v>
      </c>
      <c r="H45">
        <v>314516.36000000004</v>
      </c>
      <c r="I45">
        <v>311855.33999999991</v>
      </c>
      <c r="J45">
        <v>46237.680468749895</v>
      </c>
      <c r="K45">
        <v>48898.70046875003</v>
      </c>
      <c r="L45" t="s">
        <v>48</v>
      </c>
      <c r="M45">
        <v>8760</v>
      </c>
      <c r="N45">
        <v>322</v>
      </c>
      <c r="O45" t="s">
        <v>49</v>
      </c>
      <c r="P45" t="s">
        <v>50</v>
      </c>
      <c r="Q45" t="s">
        <v>51</v>
      </c>
      <c r="R45" t="s">
        <v>51</v>
      </c>
      <c r="T45" t="s">
        <v>48</v>
      </c>
      <c r="U45">
        <v>8760</v>
      </c>
      <c r="V45">
        <v>2</v>
      </c>
      <c r="W45">
        <v>0.99169456958770752</v>
      </c>
      <c r="X45">
        <v>0.99169433555793807</v>
      </c>
      <c r="Y45">
        <v>0.99148494005203247</v>
      </c>
      <c r="Z45">
        <v>0.99190419912338257</v>
      </c>
      <c r="AA45">
        <f t="shared" si="0"/>
        <v>0.1740760781882803</v>
      </c>
      <c r="AB45">
        <f t="shared" si="1"/>
        <v>0.18409431268630344</v>
      </c>
    </row>
    <row r="46" spans="1:28" x14ac:dyDescent="0.3">
      <c r="A46" t="s">
        <v>3</v>
      </c>
      <c r="B46" t="s">
        <v>95</v>
      </c>
      <c r="C46" t="s">
        <v>47</v>
      </c>
      <c r="D46">
        <v>175.40979473472862</v>
      </c>
      <c r="E46">
        <v>179.66</v>
      </c>
      <c r="F46">
        <v>175.38</v>
      </c>
      <c r="G46">
        <v>282062.75325000001</v>
      </c>
      <c r="H46">
        <v>272935.89999999956</v>
      </c>
      <c r="I46">
        <v>271349.2800000002</v>
      </c>
      <c r="J46">
        <v>-10713.473249999806</v>
      </c>
      <c r="K46">
        <v>-9126.8532500004512</v>
      </c>
      <c r="L46" t="s">
        <v>48</v>
      </c>
      <c r="M46">
        <v>8760</v>
      </c>
      <c r="N46">
        <v>290</v>
      </c>
      <c r="O46" t="s">
        <v>49</v>
      </c>
      <c r="P46" t="s">
        <v>50</v>
      </c>
      <c r="Q46" t="s">
        <v>51</v>
      </c>
      <c r="R46" t="s">
        <v>51</v>
      </c>
      <c r="T46" t="s">
        <v>48</v>
      </c>
      <c r="U46">
        <v>8760</v>
      </c>
      <c r="V46">
        <v>2</v>
      </c>
      <c r="W46">
        <v>0.98573490977287292</v>
      </c>
      <c r="X46">
        <v>0.98574288751944006</v>
      </c>
      <c r="Y46">
        <v>0.97918701171875</v>
      </c>
      <c r="Z46">
        <v>0.99228280782699585</v>
      </c>
      <c r="AA46">
        <f t="shared" si="0"/>
        <v>-3.7982587656670001E-2</v>
      </c>
      <c r="AB46">
        <f t="shared" si="1"/>
        <v>-3.2357527340417996E-2</v>
      </c>
    </row>
    <row r="47" spans="1:28" x14ac:dyDescent="0.3">
      <c r="A47" t="s">
        <v>3</v>
      </c>
      <c r="B47" t="s">
        <v>96</v>
      </c>
      <c r="C47" t="s">
        <v>47</v>
      </c>
      <c r="D47">
        <v>186.1016589288956</v>
      </c>
      <c r="E47">
        <v>188.83</v>
      </c>
      <c r="F47">
        <v>186.1</v>
      </c>
      <c r="G47">
        <v>248116.90754687501</v>
      </c>
      <c r="H47">
        <v>299030.01000000053</v>
      </c>
      <c r="I47">
        <v>296495.58999999973</v>
      </c>
      <c r="J47">
        <v>48378.682453124726</v>
      </c>
      <c r="K47">
        <v>50913.102453125524</v>
      </c>
      <c r="L47" t="s">
        <v>48</v>
      </c>
      <c r="M47">
        <v>8760</v>
      </c>
      <c r="N47">
        <v>305</v>
      </c>
      <c r="O47" t="s">
        <v>49</v>
      </c>
      <c r="P47" t="s">
        <v>50</v>
      </c>
      <c r="Q47" t="s">
        <v>51</v>
      </c>
      <c r="R47" t="s">
        <v>51</v>
      </c>
      <c r="T47" t="s">
        <v>48</v>
      </c>
      <c r="U47">
        <v>8760</v>
      </c>
      <c r="V47">
        <v>2</v>
      </c>
      <c r="W47">
        <v>0.99655735492706299</v>
      </c>
      <c r="X47">
        <v>0.99655538000295318</v>
      </c>
      <c r="Y47">
        <v>0.99480068683624268</v>
      </c>
      <c r="Z47">
        <v>0.9983140230178833</v>
      </c>
      <c r="AA47">
        <f t="shared" si="0"/>
        <v>0.19498341701677416</v>
      </c>
      <c r="AB47">
        <f t="shared" si="1"/>
        <v>0.20519803731435296</v>
      </c>
    </row>
    <row r="48" spans="1:28" x14ac:dyDescent="0.3">
      <c r="A48" t="s">
        <v>3</v>
      </c>
      <c r="B48" t="s">
        <v>97</v>
      </c>
      <c r="C48" t="s">
        <v>47</v>
      </c>
      <c r="D48">
        <v>227.72009030719065</v>
      </c>
      <c r="E48">
        <v>228.71</v>
      </c>
      <c r="F48">
        <v>227.72</v>
      </c>
      <c r="G48">
        <v>397622.23562500003</v>
      </c>
      <c r="H48">
        <v>353049.38000000088</v>
      </c>
      <c r="I48">
        <v>352554.1800000004</v>
      </c>
      <c r="J48">
        <v>-45068.05562499963</v>
      </c>
      <c r="K48">
        <v>-44572.855624999152</v>
      </c>
      <c r="L48" t="s">
        <v>48</v>
      </c>
      <c r="M48">
        <v>8760</v>
      </c>
      <c r="N48">
        <v>376</v>
      </c>
      <c r="O48" t="s">
        <v>49</v>
      </c>
      <c r="P48" t="s">
        <v>50</v>
      </c>
      <c r="Q48" t="s">
        <v>51</v>
      </c>
      <c r="R48" t="s">
        <v>51</v>
      </c>
      <c r="T48" t="s">
        <v>48</v>
      </c>
      <c r="U48">
        <v>8760</v>
      </c>
      <c r="V48">
        <v>2</v>
      </c>
      <c r="W48">
        <v>0.99847120046615601</v>
      </c>
      <c r="X48">
        <v>0.99847159414791897</v>
      </c>
      <c r="Y48">
        <v>0.99742412567138672</v>
      </c>
      <c r="Z48">
        <v>0.99951827526092529</v>
      </c>
      <c r="AA48">
        <f t="shared" si="0"/>
        <v>-0.11334390179201041</v>
      </c>
      <c r="AB48">
        <f t="shared" si="1"/>
        <v>-0.11209849860367489</v>
      </c>
    </row>
    <row r="49" spans="1:28" x14ac:dyDescent="0.3">
      <c r="A49" t="s">
        <v>3</v>
      </c>
      <c r="B49" t="s">
        <v>98</v>
      </c>
      <c r="C49" t="s">
        <v>47</v>
      </c>
      <c r="D49">
        <v>139.08421515585343</v>
      </c>
      <c r="E49">
        <v>139.1</v>
      </c>
      <c r="F49">
        <v>139.1</v>
      </c>
      <c r="G49">
        <v>235203.88528125</v>
      </c>
      <c r="H49">
        <v>223781.14999999979</v>
      </c>
      <c r="I49">
        <v>223991.83000000022</v>
      </c>
      <c r="J49">
        <v>-11212.055281249777</v>
      </c>
      <c r="K49">
        <v>-11422.735281250207</v>
      </c>
      <c r="L49" t="s">
        <v>48</v>
      </c>
      <c r="M49">
        <v>8760</v>
      </c>
      <c r="N49">
        <v>229</v>
      </c>
      <c r="O49" t="s">
        <v>49</v>
      </c>
      <c r="P49" t="s">
        <v>50</v>
      </c>
      <c r="Q49" t="s">
        <v>51</v>
      </c>
      <c r="R49" t="s">
        <v>51</v>
      </c>
      <c r="T49" t="s">
        <v>48</v>
      </c>
      <c r="U49">
        <v>8760</v>
      </c>
      <c r="AA49">
        <f t="shared" si="0"/>
        <v>-4.7669515611286462E-2</v>
      </c>
      <c r="AB49">
        <f t="shared" si="1"/>
        <v>-4.856524911393887E-2</v>
      </c>
    </row>
    <row r="50" spans="1:28" x14ac:dyDescent="0.3">
      <c r="A50" t="s">
        <v>3</v>
      </c>
      <c r="B50" t="s">
        <v>99</v>
      </c>
      <c r="C50" t="s">
        <v>47</v>
      </c>
      <c r="D50">
        <v>152.48178235119937</v>
      </c>
      <c r="E50">
        <v>155.79</v>
      </c>
      <c r="F50">
        <v>152.47999999999999</v>
      </c>
      <c r="G50">
        <v>330125.555953125</v>
      </c>
      <c r="H50">
        <v>247299.43999999919</v>
      </c>
      <c r="I50">
        <v>245743.42000000059</v>
      </c>
      <c r="J50">
        <v>-84382.135953124409</v>
      </c>
      <c r="K50">
        <v>-82826.115953125816</v>
      </c>
      <c r="L50" t="s">
        <v>48</v>
      </c>
      <c r="M50">
        <v>8760</v>
      </c>
      <c r="N50">
        <v>253</v>
      </c>
      <c r="O50" t="s">
        <v>49</v>
      </c>
      <c r="P50" t="s">
        <v>50</v>
      </c>
      <c r="Q50" t="s">
        <v>51</v>
      </c>
      <c r="R50" t="s">
        <v>51</v>
      </c>
      <c r="T50" t="s">
        <v>48</v>
      </c>
      <c r="U50">
        <v>8760</v>
      </c>
      <c r="V50">
        <v>2</v>
      </c>
      <c r="W50">
        <v>0.99264943599700928</v>
      </c>
      <c r="X50">
        <v>0.99264973120123035</v>
      </c>
      <c r="Y50">
        <v>0.99186456203460693</v>
      </c>
      <c r="Z50">
        <v>0.99343430995941162</v>
      </c>
      <c r="AA50">
        <f t="shared" si="0"/>
        <v>-0.25560619113385435</v>
      </c>
      <c r="AB50">
        <f t="shared" si="1"/>
        <v>-0.25089277233928053</v>
      </c>
    </row>
    <row r="51" spans="1:28" x14ac:dyDescent="0.3">
      <c r="A51" t="s">
        <v>3</v>
      </c>
      <c r="B51" t="s">
        <v>100</v>
      </c>
      <c r="C51" t="s">
        <v>47</v>
      </c>
      <c r="D51">
        <v>144.18027377398579</v>
      </c>
      <c r="E51">
        <v>145.80000000000001</v>
      </c>
      <c r="F51">
        <v>144.18</v>
      </c>
      <c r="G51">
        <v>190906.388875</v>
      </c>
      <c r="H51">
        <v>234603.02000000069</v>
      </c>
      <c r="I51">
        <v>232651.94000000102</v>
      </c>
      <c r="J51">
        <v>41745.551125001017</v>
      </c>
      <c r="K51">
        <v>43696.631125000684</v>
      </c>
      <c r="L51" t="s">
        <v>48</v>
      </c>
      <c r="M51">
        <v>8760</v>
      </c>
      <c r="N51">
        <v>236</v>
      </c>
      <c r="O51" t="s">
        <v>49</v>
      </c>
      <c r="P51" t="s">
        <v>50</v>
      </c>
      <c r="Q51" t="s">
        <v>51</v>
      </c>
      <c r="R51" t="s">
        <v>51</v>
      </c>
      <c r="T51" t="s">
        <v>48</v>
      </c>
      <c r="U51">
        <v>8760</v>
      </c>
      <c r="V51">
        <v>2</v>
      </c>
      <c r="W51">
        <v>0.99799889326095581</v>
      </c>
      <c r="X51">
        <v>0.99799882237916504</v>
      </c>
      <c r="Y51">
        <v>0.9977869987487793</v>
      </c>
      <c r="Z51">
        <v>0.99821078777313232</v>
      </c>
      <c r="AA51">
        <f t="shared" si="0"/>
        <v>0.21867026751176358</v>
      </c>
      <c r="AB51">
        <f t="shared" si="1"/>
        <v>0.2288903550190349</v>
      </c>
    </row>
    <row r="52" spans="1:28" x14ac:dyDescent="0.3">
      <c r="A52" t="s">
        <v>3</v>
      </c>
      <c r="B52" t="s">
        <v>101</v>
      </c>
      <c r="C52" t="s">
        <v>47</v>
      </c>
      <c r="D52">
        <v>139.00114359428329</v>
      </c>
      <c r="E52">
        <v>141.19999999999999</v>
      </c>
      <c r="F52">
        <v>139.01</v>
      </c>
      <c r="G52">
        <v>226161.3995</v>
      </c>
      <c r="H52">
        <v>222419.85000000038</v>
      </c>
      <c r="I52">
        <v>224334.57000000007</v>
      </c>
      <c r="J52">
        <v>-1826.8294999999343</v>
      </c>
      <c r="K52">
        <v>-3741.5494999996154</v>
      </c>
      <c r="L52" t="s">
        <v>48</v>
      </c>
      <c r="M52">
        <v>8760</v>
      </c>
      <c r="N52">
        <v>231</v>
      </c>
      <c r="O52" t="s">
        <v>49</v>
      </c>
      <c r="P52" t="s">
        <v>50</v>
      </c>
      <c r="Q52" t="s">
        <v>51</v>
      </c>
      <c r="R52" t="s">
        <v>51</v>
      </c>
      <c r="T52" t="s">
        <v>48</v>
      </c>
      <c r="U52">
        <v>8760</v>
      </c>
      <c r="V52">
        <v>2</v>
      </c>
      <c r="W52">
        <v>0.99518141150474548</v>
      </c>
      <c r="X52">
        <v>0.99518055523120286</v>
      </c>
      <c r="Y52">
        <v>0.99136471748352051</v>
      </c>
      <c r="Z52">
        <v>0.99899810552597046</v>
      </c>
      <c r="AA52">
        <f t="shared" si="0"/>
        <v>-8.0775477337808668E-3</v>
      </c>
      <c r="AB52">
        <f t="shared" si="1"/>
        <v>-1.6543713950618773E-2</v>
      </c>
    </row>
    <row r="53" spans="1:28" x14ac:dyDescent="0.3">
      <c r="A53" t="s">
        <v>3</v>
      </c>
      <c r="B53" t="s">
        <v>102</v>
      </c>
      <c r="C53" t="s">
        <v>47</v>
      </c>
      <c r="D53">
        <v>133.90516356442981</v>
      </c>
      <c r="E53">
        <v>133.9</v>
      </c>
      <c r="F53">
        <v>133.9</v>
      </c>
      <c r="G53">
        <v>272462.14696874999</v>
      </c>
      <c r="H53">
        <v>214408.59999999989</v>
      </c>
      <c r="I53">
        <v>214570.86</v>
      </c>
      <c r="J53">
        <v>-57891.286968750006</v>
      </c>
      <c r="K53">
        <v>-58053.546968750103</v>
      </c>
      <c r="L53" t="s">
        <v>48</v>
      </c>
      <c r="M53">
        <v>8760</v>
      </c>
      <c r="N53">
        <v>220</v>
      </c>
      <c r="O53" t="s">
        <v>49</v>
      </c>
      <c r="P53" t="s">
        <v>50</v>
      </c>
      <c r="Q53" t="s">
        <v>51</v>
      </c>
      <c r="R53" t="s">
        <v>51</v>
      </c>
      <c r="T53" t="s">
        <v>48</v>
      </c>
      <c r="U53">
        <v>8760</v>
      </c>
      <c r="AA53">
        <f t="shared" si="0"/>
        <v>-0.21247460468477422</v>
      </c>
      <c r="AB53">
        <f t="shared" si="1"/>
        <v>-0.21307013695156907</v>
      </c>
    </row>
    <row r="54" spans="1:28" x14ac:dyDescent="0.3">
      <c r="A54" t="s">
        <v>3</v>
      </c>
      <c r="B54" t="s">
        <v>103</v>
      </c>
      <c r="C54" t="s">
        <v>47</v>
      </c>
      <c r="D54">
        <v>175.56254732794577</v>
      </c>
      <c r="E54">
        <v>178.47</v>
      </c>
      <c r="F54">
        <v>175.49</v>
      </c>
      <c r="G54">
        <v>385807.6370625</v>
      </c>
      <c r="H54">
        <v>273709.26999999885</v>
      </c>
      <c r="I54">
        <v>272680.82</v>
      </c>
      <c r="J54">
        <v>-113126.81706249999</v>
      </c>
      <c r="K54">
        <v>-112098.36706250114</v>
      </c>
      <c r="L54" t="s">
        <v>48</v>
      </c>
      <c r="M54">
        <v>8760</v>
      </c>
      <c r="N54">
        <v>289</v>
      </c>
      <c r="O54" t="s">
        <v>49</v>
      </c>
      <c r="P54" t="s">
        <v>50</v>
      </c>
      <c r="Q54" t="s">
        <v>51</v>
      </c>
      <c r="R54" t="s">
        <v>51</v>
      </c>
      <c r="T54" t="s">
        <v>48</v>
      </c>
      <c r="U54">
        <v>8760</v>
      </c>
      <c r="V54">
        <v>2</v>
      </c>
      <c r="W54">
        <v>0.99893367290496826</v>
      </c>
      <c r="X54">
        <v>0.99893341042649009</v>
      </c>
      <c r="Y54">
        <v>0.99870967864990234</v>
      </c>
      <c r="Z54">
        <v>0.99915766716003418</v>
      </c>
      <c r="AA54">
        <f t="shared" si="0"/>
        <v>-0.29322078205562763</v>
      </c>
      <c r="AB54">
        <f t="shared" si="1"/>
        <v>-0.2905550753634808</v>
      </c>
    </row>
    <row r="55" spans="1:28" x14ac:dyDescent="0.3">
      <c r="A55" t="s">
        <v>3</v>
      </c>
      <c r="B55" t="s">
        <v>104</v>
      </c>
      <c r="C55" t="s">
        <v>47</v>
      </c>
      <c r="D55">
        <v>209.88418712796846</v>
      </c>
      <c r="E55">
        <v>212.3</v>
      </c>
      <c r="F55">
        <v>209.85</v>
      </c>
      <c r="G55">
        <v>287875.02473437501</v>
      </c>
      <c r="H55">
        <v>336230.24999999983</v>
      </c>
      <c r="I55">
        <v>334726.6099999994</v>
      </c>
      <c r="J55">
        <v>46851.585265624395</v>
      </c>
      <c r="K55">
        <v>48355.225265624817</v>
      </c>
      <c r="L55" t="s">
        <v>48</v>
      </c>
      <c r="M55">
        <v>8760</v>
      </c>
      <c r="N55">
        <v>346</v>
      </c>
      <c r="O55" t="s">
        <v>49</v>
      </c>
      <c r="P55" t="s">
        <v>50</v>
      </c>
      <c r="Q55" t="s">
        <v>51</v>
      </c>
      <c r="R55" t="s">
        <v>51</v>
      </c>
      <c r="T55" t="s">
        <v>48</v>
      </c>
      <c r="U55">
        <v>8760</v>
      </c>
      <c r="V55">
        <v>2</v>
      </c>
      <c r="W55">
        <v>0.99649220705032349</v>
      </c>
      <c r="X55">
        <v>0.99649114019424445</v>
      </c>
      <c r="Y55">
        <v>0.99544477462768555</v>
      </c>
      <c r="Z55">
        <v>0.99753963947296143</v>
      </c>
      <c r="AA55">
        <f t="shared" si="0"/>
        <v>0.16274973943590554</v>
      </c>
      <c r="AB55">
        <f t="shared" si="1"/>
        <v>0.16797297824027158</v>
      </c>
    </row>
    <row r="56" spans="1:28" x14ac:dyDescent="0.3">
      <c r="A56" t="s">
        <v>3</v>
      </c>
      <c r="B56" t="s">
        <v>105</v>
      </c>
      <c r="C56" t="s">
        <v>47</v>
      </c>
      <c r="D56">
        <v>123.45617746409927</v>
      </c>
      <c r="E56">
        <v>124.86</v>
      </c>
      <c r="F56">
        <v>123.46</v>
      </c>
      <c r="G56">
        <v>138490.3574375</v>
      </c>
      <c r="H56">
        <v>199257.59999999969</v>
      </c>
      <c r="I56">
        <v>198111.78999999928</v>
      </c>
      <c r="J56">
        <v>59621.432562499278</v>
      </c>
      <c r="K56">
        <v>60767.242562499683</v>
      </c>
      <c r="L56" t="s">
        <v>48</v>
      </c>
      <c r="M56">
        <v>8760</v>
      </c>
      <c r="N56">
        <v>205</v>
      </c>
      <c r="O56" t="s">
        <v>49</v>
      </c>
      <c r="P56" t="s">
        <v>50</v>
      </c>
      <c r="Q56" t="s">
        <v>51</v>
      </c>
      <c r="R56" t="s">
        <v>51</v>
      </c>
      <c r="T56" t="s">
        <v>48</v>
      </c>
      <c r="U56">
        <v>8760</v>
      </c>
      <c r="V56">
        <v>2</v>
      </c>
      <c r="W56">
        <v>0.9970032274723053</v>
      </c>
      <c r="X56">
        <v>0.99700318894161877</v>
      </c>
      <c r="Y56">
        <v>0.99486035108566284</v>
      </c>
      <c r="Z56">
        <v>0.99914610385894775</v>
      </c>
      <c r="AA56">
        <f t="shared" si="0"/>
        <v>0.43050963016978366</v>
      </c>
      <c r="AB56">
        <f t="shared" si="1"/>
        <v>0.4387832025772887</v>
      </c>
    </row>
    <row r="57" spans="1:28" x14ac:dyDescent="0.3">
      <c r="A57" t="s">
        <v>3</v>
      </c>
      <c r="B57" t="s">
        <v>106</v>
      </c>
      <c r="C57" t="s">
        <v>47</v>
      </c>
      <c r="D57">
        <v>194.27060199805737</v>
      </c>
      <c r="E57">
        <v>205.87</v>
      </c>
      <c r="F57">
        <v>194.27</v>
      </c>
      <c r="G57">
        <v>430004.54206250003</v>
      </c>
      <c r="H57">
        <v>315276.40999999904</v>
      </c>
      <c r="I57">
        <v>300409.03000000049</v>
      </c>
      <c r="J57">
        <v>-129595.51206249953</v>
      </c>
      <c r="K57">
        <v>-114728.13206250098</v>
      </c>
      <c r="L57" t="s">
        <v>48</v>
      </c>
      <c r="M57">
        <v>8760</v>
      </c>
      <c r="N57">
        <v>321</v>
      </c>
      <c r="O57" t="s">
        <v>49</v>
      </c>
      <c r="P57" t="s">
        <v>50</v>
      </c>
      <c r="Q57" t="s">
        <v>51</v>
      </c>
      <c r="R57" t="s">
        <v>51</v>
      </c>
      <c r="T57" t="s">
        <v>48</v>
      </c>
      <c r="U57">
        <v>8760</v>
      </c>
      <c r="V57">
        <v>2</v>
      </c>
      <c r="W57">
        <v>0.9994361400604248</v>
      </c>
      <c r="X57">
        <v>0.99943604506078676</v>
      </c>
      <c r="Y57">
        <v>0.99910682439804077</v>
      </c>
      <c r="Z57">
        <v>0.99976545572280884</v>
      </c>
      <c r="AA57">
        <f t="shared" si="0"/>
        <v>-0.30138172829733312</v>
      </c>
      <c r="AB57">
        <f t="shared" si="1"/>
        <v>-0.26680679118460465</v>
      </c>
    </row>
    <row r="58" spans="1:28" x14ac:dyDescent="0.3">
      <c r="A58" t="s">
        <v>3</v>
      </c>
      <c r="B58" t="s">
        <v>107</v>
      </c>
      <c r="C58" t="s">
        <v>47</v>
      </c>
      <c r="D58">
        <v>295.2224779187909</v>
      </c>
      <c r="E58">
        <v>298.64999999999998</v>
      </c>
      <c r="F58">
        <v>295.22000000000003</v>
      </c>
      <c r="G58">
        <v>440592.22465625004</v>
      </c>
      <c r="H58">
        <v>467496.96000000066</v>
      </c>
      <c r="I58">
        <v>464324.10999999987</v>
      </c>
      <c r="J58">
        <v>23731.885343749833</v>
      </c>
      <c r="K58">
        <v>26904.735343750624</v>
      </c>
      <c r="L58" t="s">
        <v>48</v>
      </c>
      <c r="M58">
        <v>8760</v>
      </c>
      <c r="N58">
        <v>486</v>
      </c>
      <c r="O58" t="s">
        <v>49</v>
      </c>
      <c r="P58" t="s">
        <v>50</v>
      </c>
      <c r="Q58" t="s">
        <v>51</v>
      </c>
      <c r="R58" t="s">
        <v>51</v>
      </c>
      <c r="T58" t="s">
        <v>48</v>
      </c>
      <c r="U58">
        <v>8760</v>
      </c>
      <c r="V58">
        <v>2</v>
      </c>
      <c r="W58">
        <v>0.99271532893180847</v>
      </c>
      <c r="X58">
        <v>0.99271552607132763</v>
      </c>
      <c r="Y58">
        <v>0.99253511428833008</v>
      </c>
      <c r="Z58">
        <v>0.99289554357528687</v>
      </c>
      <c r="AA58">
        <f t="shared" si="0"/>
        <v>5.3863604520632304E-2</v>
      </c>
      <c r="AB58">
        <f t="shared" si="1"/>
        <v>6.1064934508868587E-2</v>
      </c>
    </row>
    <row r="59" spans="1:28" x14ac:dyDescent="0.3">
      <c r="A59" t="s">
        <v>3</v>
      </c>
      <c r="B59" t="s">
        <v>108</v>
      </c>
      <c r="C59" t="s">
        <v>47</v>
      </c>
      <c r="D59">
        <v>464.80377973662758</v>
      </c>
      <c r="E59">
        <v>467.76</v>
      </c>
      <c r="F59">
        <v>467.76</v>
      </c>
      <c r="G59">
        <v>947332.06703124999</v>
      </c>
      <c r="H59">
        <v>629311.06999999832</v>
      </c>
      <c r="I59">
        <v>732996.73999999824</v>
      </c>
      <c r="J59">
        <v>-214335.32703125174</v>
      </c>
      <c r="K59">
        <v>-318020.99703125167</v>
      </c>
      <c r="L59" t="s">
        <v>48</v>
      </c>
      <c r="M59">
        <v>8760</v>
      </c>
      <c r="N59">
        <v>765</v>
      </c>
      <c r="O59" t="s">
        <v>49</v>
      </c>
      <c r="P59" t="s">
        <v>50</v>
      </c>
      <c r="Q59" t="s">
        <v>51</v>
      </c>
      <c r="R59" t="s">
        <v>51</v>
      </c>
      <c r="T59" t="s">
        <v>48</v>
      </c>
      <c r="U59">
        <v>8760</v>
      </c>
      <c r="AA59">
        <f t="shared" si="0"/>
        <v>-0.22625152730545264</v>
      </c>
      <c r="AB59">
        <f t="shared" si="1"/>
        <v>-0.33570171231283885</v>
      </c>
    </row>
    <row r="60" spans="1:28" x14ac:dyDescent="0.3">
      <c r="A60" t="s">
        <v>3</v>
      </c>
      <c r="B60" t="s">
        <v>109</v>
      </c>
      <c r="C60" t="s">
        <v>47</v>
      </c>
      <c r="D60">
        <v>255.2397724816858</v>
      </c>
      <c r="E60">
        <v>256.45</v>
      </c>
      <c r="F60">
        <v>255.24</v>
      </c>
      <c r="G60">
        <v>393327.75018750003</v>
      </c>
      <c r="H60">
        <v>410480.48999999976</v>
      </c>
      <c r="I60">
        <v>410159.74999999936</v>
      </c>
      <c r="J60">
        <v>16831.999812499329</v>
      </c>
      <c r="K60">
        <v>17152.739812499727</v>
      </c>
      <c r="L60" t="s">
        <v>48</v>
      </c>
      <c r="M60">
        <v>8760</v>
      </c>
      <c r="N60">
        <v>421</v>
      </c>
      <c r="O60" t="s">
        <v>49</v>
      </c>
      <c r="P60" t="s">
        <v>50</v>
      </c>
      <c r="Q60" t="s">
        <v>51</v>
      </c>
      <c r="R60" t="s">
        <v>51</v>
      </c>
      <c r="T60" t="s">
        <v>48</v>
      </c>
      <c r="U60">
        <v>8760</v>
      </c>
      <c r="V60">
        <v>2</v>
      </c>
      <c r="W60">
        <v>0.99930378794670105</v>
      </c>
      <c r="X60">
        <v>0.99930343281527523</v>
      </c>
      <c r="Y60">
        <v>0.99893707036972046</v>
      </c>
      <c r="Z60">
        <v>0.99967050552368164</v>
      </c>
      <c r="AA60">
        <f t="shared" si="0"/>
        <v>4.2793827296638706E-2</v>
      </c>
      <c r="AB60">
        <f t="shared" si="1"/>
        <v>4.3609279549492723E-2</v>
      </c>
    </row>
    <row r="61" spans="1:28" x14ac:dyDescent="0.3">
      <c r="A61" t="s">
        <v>3</v>
      </c>
      <c r="B61" t="s">
        <v>110</v>
      </c>
      <c r="C61" t="s">
        <v>47</v>
      </c>
      <c r="D61">
        <v>226.51910467834284</v>
      </c>
      <c r="E61">
        <v>227.48</v>
      </c>
      <c r="F61">
        <v>226.52</v>
      </c>
      <c r="G61">
        <v>349680.19415624999</v>
      </c>
      <c r="H61">
        <v>363937.21000000072</v>
      </c>
      <c r="I61">
        <v>364273.12000000023</v>
      </c>
      <c r="J61">
        <v>14592.925843750243</v>
      </c>
      <c r="K61">
        <v>14257.015843750734</v>
      </c>
      <c r="L61" t="s">
        <v>48</v>
      </c>
      <c r="M61">
        <v>8760</v>
      </c>
      <c r="N61">
        <v>374</v>
      </c>
      <c r="O61" t="s">
        <v>49</v>
      </c>
      <c r="P61" t="s">
        <v>50</v>
      </c>
      <c r="Q61" t="s">
        <v>51</v>
      </c>
      <c r="R61" t="s">
        <v>51</v>
      </c>
      <c r="T61" t="s">
        <v>48</v>
      </c>
      <c r="U61">
        <v>8760</v>
      </c>
      <c r="V61">
        <v>2</v>
      </c>
      <c r="W61">
        <v>0.99903839826583862</v>
      </c>
      <c r="X61">
        <v>0.99903886686833898</v>
      </c>
      <c r="Y61">
        <v>0.99847406148910522</v>
      </c>
      <c r="Z61">
        <v>0.99960273504257202</v>
      </c>
      <c r="AA61">
        <f t="shared" si="0"/>
        <v>4.1732205848723551E-2</v>
      </c>
      <c r="AB61">
        <f t="shared" si="1"/>
        <v>4.0771585242772357E-2</v>
      </c>
    </row>
    <row r="62" spans="1:28" x14ac:dyDescent="0.3">
      <c r="A62" t="s">
        <v>3</v>
      </c>
      <c r="B62" t="s">
        <v>111</v>
      </c>
      <c r="C62" t="s">
        <v>47</v>
      </c>
      <c r="D62">
        <v>239.65226857343819</v>
      </c>
      <c r="E62">
        <v>239.65</v>
      </c>
      <c r="F62">
        <v>239.65</v>
      </c>
      <c r="G62">
        <v>422367.18975000002</v>
      </c>
      <c r="H62">
        <v>381542.49000000057</v>
      </c>
      <c r="I62">
        <v>382102.82999999885</v>
      </c>
      <c r="J62">
        <v>-40264.359750001167</v>
      </c>
      <c r="K62">
        <v>-40824.699749999447</v>
      </c>
      <c r="L62" t="s">
        <v>48</v>
      </c>
      <c r="M62">
        <v>8760</v>
      </c>
      <c r="N62">
        <v>396</v>
      </c>
      <c r="O62" t="s">
        <v>49</v>
      </c>
      <c r="P62" t="s">
        <v>50</v>
      </c>
      <c r="Q62" t="s">
        <v>51</v>
      </c>
      <c r="R62" t="s">
        <v>51</v>
      </c>
      <c r="T62" t="s">
        <v>48</v>
      </c>
      <c r="U62">
        <v>8760</v>
      </c>
      <c r="AA62">
        <f t="shared" si="0"/>
        <v>-9.5330226227642645E-2</v>
      </c>
      <c r="AB62">
        <f t="shared" si="1"/>
        <v>-9.6656891777421608E-2</v>
      </c>
    </row>
    <row r="63" spans="1:28" x14ac:dyDescent="0.3">
      <c r="A63" t="s">
        <v>3</v>
      </c>
      <c r="B63" t="s">
        <v>112</v>
      </c>
      <c r="C63" t="s">
        <v>47</v>
      </c>
      <c r="D63">
        <v>228.34937117029048</v>
      </c>
      <c r="E63">
        <v>231.66</v>
      </c>
      <c r="F63">
        <v>228.35</v>
      </c>
      <c r="G63">
        <v>365432.34090625</v>
      </c>
      <c r="H63">
        <v>362647.03000000154</v>
      </c>
      <c r="I63">
        <v>360309.71</v>
      </c>
      <c r="J63">
        <v>-5122.6309062499786</v>
      </c>
      <c r="K63">
        <v>-2785.3109062484582</v>
      </c>
      <c r="L63" t="s">
        <v>48</v>
      </c>
      <c r="M63">
        <v>8760</v>
      </c>
      <c r="N63">
        <v>377</v>
      </c>
      <c r="O63" t="s">
        <v>49</v>
      </c>
      <c r="P63" t="s">
        <v>50</v>
      </c>
      <c r="Q63" t="s">
        <v>51</v>
      </c>
      <c r="R63" t="s">
        <v>51</v>
      </c>
      <c r="T63" t="s">
        <v>48</v>
      </c>
      <c r="U63">
        <v>8760</v>
      </c>
      <c r="V63">
        <v>2</v>
      </c>
      <c r="W63">
        <v>0.99553731083869934</v>
      </c>
      <c r="X63">
        <v>0.99554252413815625</v>
      </c>
      <c r="Y63">
        <v>0.99350982904434204</v>
      </c>
      <c r="Z63">
        <v>0.99756479263305664</v>
      </c>
      <c r="AA63">
        <f t="shared" si="0"/>
        <v>-1.4018000961672317E-2</v>
      </c>
      <c r="AB63">
        <f t="shared" si="1"/>
        <v>-7.6219606051863295E-3</v>
      </c>
    </row>
    <row r="64" spans="1:28" x14ac:dyDescent="0.3">
      <c r="A64" t="s">
        <v>3</v>
      </c>
      <c r="B64" t="s">
        <v>113</v>
      </c>
      <c r="C64" t="s">
        <v>47</v>
      </c>
      <c r="D64">
        <v>236.66895341526262</v>
      </c>
      <c r="E64">
        <v>241.3</v>
      </c>
      <c r="F64">
        <v>236.67</v>
      </c>
      <c r="G64">
        <v>426599.60462500004</v>
      </c>
      <c r="H64">
        <v>382865.42000000121</v>
      </c>
      <c r="I64">
        <v>376250.33000000042</v>
      </c>
      <c r="J64">
        <v>-50349.274624999613</v>
      </c>
      <c r="K64">
        <v>-43734.18462499883</v>
      </c>
      <c r="L64" t="s">
        <v>48</v>
      </c>
      <c r="M64">
        <v>8760</v>
      </c>
      <c r="N64">
        <v>391</v>
      </c>
      <c r="O64" t="s">
        <v>49</v>
      </c>
      <c r="P64" t="s">
        <v>50</v>
      </c>
      <c r="Q64" t="s">
        <v>51</v>
      </c>
      <c r="R64" t="s">
        <v>51</v>
      </c>
      <c r="T64" t="s">
        <v>48</v>
      </c>
      <c r="U64">
        <v>8760</v>
      </c>
      <c r="V64">
        <v>2</v>
      </c>
      <c r="W64">
        <v>0.99353298544883728</v>
      </c>
      <c r="X64">
        <v>0.9935368801660639</v>
      </c>
      <c r="Y64">
        <v>0.9906347393989563</v>
      </c>
      <c r="Z64">
        <v>0.99643123149871826</v>
      </c>
      <c r="AA64">
        <f t="shared" si="0"/>
        <v>-0.11802466312470884</v>
      </c>
      <c r="AB64">
        <f t="shared" si="1"/>
        <v>-0.10251810866876709</v>
      </c>
    </row>
    <row r="65" spans="1:28" x14ac:dyDescent="0.3">
      <c r="A65" t="s">
        <v>3</v>
      </c>
      <c r="B65" t="s">
        <v>114</v>
      </c>
      <c r="C65" t="s">
        <v>47</v>
      </c>
      <c r="D65">
        <v>259.55264050944368</v>
      </c>
      <c r="E65">
        <v>264.06</v>
      </c>
      <c r="F65">
        <v>259.25</v>
      </c>
      <c r="G65">
        <v>433071.24682812503</v>
      </c>
      <c r="H65">
        <v>405856.92000000045</v>
      </c>
      <c r="I65">
        <v>397442.63000000024</v>
      </c>
      <c r="J65">
        <v>-35628.616828124796</v>
      </c>
      <c r="K65">
        <v>-27214.326828124584</v>
      </c>
      <c r="L65" t="s">
        <v>48</v>
      </c>
      <c r="M65">
        <v>8760</v>
      </c>
      <c r="N65">
        <v>429</v>
      </c>
      <c r="O65" t="s">
        <v>49</v>
      </c>
      <c r="P65" t="s">
        <v>50</v>
      </c>
      <c r="Q65" t="s">
        <v>51</v>
      </c>
      <c r="R65" t="s">
        <v>51</v>
      </c>
      <c r="T65" t="s">
        <v>48</v>
      </c>
      <c r="U65">
        <v>8760</v>
      </c>
      <c r="V65">
        <v>2</v>
      </c>
      <c r="W65">
        <v>0.99056661128997803</v>
      </c>
      <c r="X65">
        <v>0.99056830168828769</v>
      </c>
      <c r="Y65">
        <v>0.98718100786209106</v>
      </c>
      <c r="Z65">
        <v>0.99395221471786499</v>
      </c>
      <c r="AA65">
        <f t="shared" si="0"/>
        <v>-8.2269642903041507E-2</v>
      </c>
      <c r="AB65">
        <f t="shared" si="1"/>
        <v>-6.2840299436746627E-2</v>
      </c>
    </row>
    <row r="66" spans="1:28" x14ac:dyDescent="0.3">
      <c r="A66" t="s">
        <v>3</v>
      </c>
      <c r="B66" t="s">
        <v>115</v>
      </c>
      <c r="C66" t="s">
        <v>47</v>
      </c>
      <c r="D66">
        <v>212.50050926076128</v>
      </c>
      <c r="E66">
        <v>162.41</v>
      </c>
      <c r="F66">
        <v>212.5</v>
      </c>
      <c r="G66">
        <v>359886.41318750003</v>
      </c>
      <c r="H66">
        <v>254465.59000000075</v>
      </c>
      <c r="I66">
        <v>341418.30999999942</v>
      </c>
      <c r="J66">
        <v>-18468.103187500616</v>
      </c>
      <c r="K66">
        <v>-105420.82318749928</v>
      </c>
      <c r="L66" t="s">
        <v>48</v>
      </c>
      <c r="M66">
        <v>8760</v>
      </c>
      <c r="N66">
        <v>350</v>
      </c>
      <c r="O66" t="s">
        <v>49</v>
      </c>
      <c r="P66" t="s">
        <v>50</v>
      </c>
      <c r="Q66" t="s">
        <v>51</v>
      </c>
      <c r="R66" t="s">
        <v>51</v>
      </c>
      <c r="T66" t="s">
        <v>48</v>
      </c>
      <c r="U66">
        <v>8760</v>
      </c>
      <c r="V66">
        <v>2</v>
      </c>
      <c r="W66">
        <v>0.9486021101474762</v>
      </c>
      <c r="X66">
        <v>0.94079648233511859</v>
      </c>
      <c r="Y66">
        <v>0.92532175779342651</v>
      </c>
      <c r="Z66">
        <v>0.97188246250152588</v>
      </c>
      <c r="AA66">
        <f t="shared" ref="AA66:AA129" si="2">(I66-G66)/G66</f>
        <v>-5.1316477951833028E-2</v>
      </c>
      <c r="AB66">
        <f t="shared" ref="AB66:AB129" si="3">(H66-G66)/G66</f>
        <v>-0.29292804430651087</v>
      </c>
    </row>
    <row r="67" spans="1:28" x14ac:dyDescent="0.3">
      <c r="A67" t="s">
        <v>3</v>
      </c>
      <c r="B67" t="s">
        <v>116</v>
      </c>
      <c r="C67" t="s">
        <v>47</v>
      </c>
      <c r="D67">
        <v>198.99956825652509</v>
      </c>
      <c r="E67">
        <v>203.09</v>
      </c>
      <c r="F67">
        <v>199</v>
      </c>
      <c r="G67">
        <v>319953.66703125002</v>
      </c>
      <c r="H67">
        <v>317396.92999999935</v>
      </c>
      <c r="I67">
        <v>314374.41999999969</v>
      </c>
      <c r="J67">
        <v>-5579.2470312503283</v>
      </c>
      <c r="K67">
        <v>-2556.7370312506682</v>
      </c>
      <c r="L67" t="s">
        <v>48</v>
      </c>
      <c r="M67">
        <v>8760</v>
      </c>
      <c r="N67">
        <v>329</v>
      </c>
      <c r="O67" t="s">
        <v>49</v>
      </c>
      <c r="P67" t="s">
        <v>50</v>
      </c>
      <c r="Q67" t="s">
        <v>51</v>
      </c>
      <c r="R67" t="s">
        <v>51</v>
      </c>
      <c r="T67" t="s">
        <v>48</v>
      </c>
      <c r="U67">
        <v>8760</v>
      </c>
      <c r="V67">
        <v>2</v>
      </c>
      <c r="W67">
        <v>0.96858775615692139</v>
      </c>
      <c r="X67">
        <v>0.96863089637245448</v>
      </c>
      <c r="Y67">
        <v>0.94169944524765015</v>
      </c>
      <c r="Z67">
        <v>0.99547606706619263</v>
      </c>
      <c r="AA67">
        <f t="shared" si="2"/>
        <v>-1.7437671782350287E-2</v>
      </c>
      <c r="AB67">
        <f t="shared" si="3"/>
        <v>-7.9909602380051816E-3</v>
      </c>
    </row>
    <row r="68" spans="1:28" x14ac:dyDescent="0.3">
      <c r="A68" t="s">
        <v>3</v>
      </c>
      <c r="B68" t="s">
        <v>117</v>
      </c>
      <c r="C68" t="s">
        <v>47</v>
      </c>
      <c r="D68">
        <v>231.52243218395148</v>
      </c>
      <c r="E68">
        <v>233.52</v>
      </c>
      <c r="F68">
        <v>231.52</v>
      </c>
      <c r="G68">
        <v>363787.27856250003</v>
      </c>
      <c r="H68">
        <v>372722.26000000018</v>
      </c>
      <c r="I68">
        <v>355767.99000000057</v>
      </c>
      <c r="J68">
        <v>-8019.2885624994524</v>
      </c>
      <c r="K68">
        <v>8934.9814375001588</v>
      </c>
      <c r="L68" t="s">
        <v>48</v>
      </c>
      <c r="M68">
        <v>8760</v>
      </c>
      <c r="N68">
        <v>381</v>
      </c>
      <c r="O68" t="s">
        <v>49</v>
      </c>
      <c r="P68" t="s">
        <v>50</v>
      </c>
      <c r="Q68" t="s">
        <v>51</v>
      </c>
      <c r="R68" t="s">
        <v>51</v>
      </c>
      <c r="T68" t="s">
        <v>48</v>
      </c>
      <c r="U68">
        <v>8760</v>
      </c>
      <c r="V68">
        <v>2</v>
      </c>
      <c r="W68">
        <v>0.99714139103889465</v>
      </c>
      <c r="X68">
        <v>0.99714129932754159</v>
      </c>
      <c r="Y68">
        <v>0.99690788984298706</v>
      </c>
      <c r="Z68">
        <v>0.99737489223480225</v>
      </c>
      <c r="AA68">
        <f t="shared" si="2"/>
        <v>-2.2043894976722527E-2</v>
      </c>
      <c r="AB68">
        <f t="shared" si="3"/>
        <v>2.4561005741615276E-2</v>
      </c>
    </row>
    <row r="69" spans="1:28" x14ac:dyDescent="0.3">
      <c r="A69" t="s">
        <v>3</v>
      </c>
      <c r="B69" t="s">
        <v>118</v>
      </c>
      <c r="C69" t="s">
        <v>47</v>
      </c>
      <c r="D69">
        <v>218.78038222249367</v>
      </c>
      <c r="E69">
        <v>220.53</v>
      </c>
      <c r="F69">
        <v>218.78</v>
      </c>
      <c r="G69">
        <v>355636.71531250002</v>
      </c>
      <c r="H69">
        <v>344612.64000000007</v>
      </c>
      <c r="I69">
        <v>345438.75000000029</v>
      </c>
      <c r="J69">
        <v>-10197.965312499728</v>
      </c>
      <c r="K69">
        <v>-11024.075312499946</v>
      </c>
      <c r="L69" t="s">
        <v>48</v>
      </c>
      <c r="M69">
        <v>8760</v>
      </c>
      <c r="N69">
        <v>360</v>
      </c>
      <c r="O69" t="s">
        <v>49</v>
      </c>
      <c r="P69" t="s">
        <v>50</v>
      </c>
      <c r="Q69" t="s">
        <v>51</v>
      </c>
      <c r="R69" t="s">
        <v>51</v>
      </c>
      <c r="T69" t="s">
        <v>48</v>
      </c>
      <c r="U69">
        <v>8760</v>
      </c>
      <c r="V69">
        <v>2</v>
      </c>
      <c r="W69">
        <v>0.9925515353679657</v>
      </c>
      <c r="X69">
        <v>0.99254454801281233</v>
      </c>
      <c r="Y69">
        <v>0.98685663938522339</v>
      </c>
      <c r="Z69">
        <v>0.99824643135070801</v>
      </c>
      <c r="AA69">
        <f t="shared" si="2"/>
        <v>-2.867523198086766E-2</v>
      </c>
      <c r="AB69">
        <f t="shared" si="3"/>
        <v>-3.0998136125548872E-2</v>
      </c>
    </row>
    <row r="70" spans="1:28" x14ac:dyDescent="0.3">
      <c r="A70" t="s">
        <v>3</v>
      </c>
      <c r="B70" t="s">
        <v>119</v>
      </c>
      <c r="C70" t="s">
        <v>47</v>
      </c>
      <c r="D70">
        <v>225.04140549665891</v>
      </c>
      <c r="E70">
        <v>227.08</v>
      </c>
      <c r="F70">
        <v>225.04</v>
      </c>
      <c r="G70">
        <v>354398.46246875002</v>
      </c>
      <c r="H70">
        <v>358301.41999999963</v>
      </c>
      <c r="I70">
        <v>353911.93999999913</v>
      </c>
      <c r="J70">
        <v>-486.52246875088895</v>
      </c>
      <c r="K70">
        <v>3902.9575312496163</v>
      </c>
      <c r="L70" t="s">
        <v>48</v>
      </c>
      <c r="M70">
        <v>8760</v>
      </c>
      <c r="N70">
        <v>371</v>
      </c>
      <c r="O70" t="s">
        <v>49</v>
      </c>
      <c r="P70" t="s">
        <v>50</v>
      </c>
      <c r="Q70" t="s">
        <v>51</v>
      </c>
      <c r="R70" t="s">
        <v>51</v>
      </c>
      <c r="T70" t="s">
        <v>48</v>
      </c>
      <c r="U70">
        <v>8760</v>
      </c>
      <c r="V70">
        <v>2</v>
      </c>
      <c r="W70">
        <v>0.98721808195114136</v>
      </c>
      <c r="X70">
        <v>0.98720971446920069</v>
      </c>
      <c r="Y70">
        <v>0.97791081666946411</v>
      </c>
      <c r="Z70">
        <v>0.9965253472328186</v>
      </c>
      <c r="AA70">
        <f t="shared" si="2"/>
        <v>-1.3728120188833757E-3</v>
      </c>
      <c r="AB70">
        <f t="shared" si="3"/>
        <v>1.1012907629625424E-2</v>
      </c>
    </row>
    <row r="71" spans="1:28" x14ac:dyDescent="0.3">
      <c r="A71" t="s">
        <v>3</v>
      </c>
      <c r="B71" t="s">
        <v>120</v>
      </c>
      <c r="C71" t="s">
        <v>47</v>
      </c>
      <c r="D71">
        <v>218.95301297106866</v>
      </c>
      <c r="E71">
        <v>220.64</v>
      </c>
      <c r="F71">
        <v>218.95</v>
      </c>
      <c r="G71">
        <v>393222.60100000002</v>
      </c>
      <c r="H71">
        <v>338024.77999999968</v>
      </c>
      <c r="I71">
        <v>341138.36999999912</v>
      </c>
      <c r="J71">
        <v>-52084.231000000902</v>
      </c>
      <c r="K71">
        <v>-55197.821000000346</v>
      </c>
      <c r="L71" t="s">
        <v>48</v>
      </c>
      <c r="M71">
        <v>8760</v>
      </c>
      <c r="N71">
        <v>361</v>
      </c>
      <c r="O71" t="s">
        <v>49</v>
      </c>
      <c r="P71" t="s">
        <v>50</v>
      </c>
      <c r="Q71" t="s">
        <v>51</v>
      </c>
      <c r="R71" t="s">
        <v>51</v>
      </c>
      <c r="T71" t="s">
        <v>48</v>
      </c>
      <c r="U71">
        <v>8760</v>
      </c>
      <c r="V71">
        <v>2</v>
      </c>
      <c r="W71">
        <v>0.99897539615631104</v>
      </c>
      <c r="X71">
        <v>0.9989755022637814</v>
      </c>
      <c r="Y71">
        <v>0.99856829643249512</v>
      </c>
      <c r="Z71">
        <v>0.99938249588012695</v>
      </c>
      <c r="AA71">
        <f t="shared" si="2"/>
        <v>-0.13245482550480586</v>
      </c>
      <c r="AB71">
        <f t="shared" si="3"/>
        <v>-0.14037296142090352</v>
      </c>
    </row>
    <row r="72" spans="1:28" x14ac:dyDescent="0.3">
      <c r="A72" t="s">
        <v>3</v>
      </c>
      <c r="B72" t="s">
        <v>121</v>
      </c>
      <c r="C72" t="s">
        <v>47</v>
      </c>
      <c r="D72">
        <v>228.10057563581836</v>
      </c>
      <c r="E72">
        <v>229.69</v>
      </c>
      <c r="F72">
        <v>228.1</v>
      </c>
      <c r="G72">
        <v>356291.77190624998</v>
      </c>
      <c r="H72">
        <v>360841.2199999998</v>
      </c>
      <c r="I72">
        <v>354455.88999999996</v>
      </c>
      <c r="J72">
        <v>-1835.8819062500261</v>
      </c>
      <c r="K72">
        <v>4549.4480937498156</v>
      </c>
      <c r="L72" t="s">
        <v>48</v>
      </c>
      <c r="M72">
        <v>8760</v>
      </c>
      <c r="N72">
        <v>375</v>
      </c>
      <c r="O72" t="s">
        <v>49</v>
      </c>
      <c r="P72" t="s">
        <v>50</v>
      </c>
      <c r="Q72" t="s">
        <v>51</v>
      </c>
      <c r="R72" t="s">
        <v>51</v>
      </c>
      <c r="T72" t="s">
        <v>48</v>
      </c>
      <c r="U72">
        <v>8760</v>
      </c>
      <c r="V72">
        <v>2</v>
      </c>
      <c r="W72">
        <v>0.98837515711784363</v>
      </c>
      <c r="X72">
        <v>0.98838213076413806</v>
      </c>
      <c r="Y72">
        <v>0.98211228847503662</v>
      </c>
      <c r="Z72">
        <v>0.99463802576065063</v>
      </c>
      <c r="AA72">
        <f t="shared" si="2"/>
        <v>-5.1527485364806468E-3</v>
      </c>
      <c r="AB72">
        <f t="shared" si="3"/>
        <v>1.2768883405331343E-2</v>
      </c>
    </row>
    <row r="73" spans="1:28" x14ac:dyDescent="0.3">
      <c r="A73" t="s">
        <v>3</v>
      </c>
      <c r="B73" t="s">
        <v>122</v>
      </c>
      <c r="C73" t="s">
        <v>47</v>
      </c>
      <c r="D73">
        <v>202.00441623884689</v>
      </c>
      <c r="E73">
        <v>203.71</v>
      </c>
      <c r="F73">
        <v>202</v>
      </c>
      <c r="G73">
        <v>321195.21654687502</v>
      </c>
      <c r="H73">
        <v>312215.0400000005</v>
      </c>
      <c r="I73">
        <v>313599.96999999951</v>
      </c>
      <c r="J73">
        <v>-7595.2465468755108</v>
      </c>
      <c r="K73">
        <v>-8980.1765468745143</v>
      </c>
      <c r="L73" t="s">
        <v>48</v>
      </c>
      <c r="M73">
        <v>8760</v>
      </c>
      <c r="N73">
        <v>333</v>
      </c>
      <c r="O73" t="s">
        <v>49</v>
      </c>
      <c r="P73" t="s">
        <v>50</v>
      </c>
      <c r="Q73" t="s">
        <v>51</v>
      </c>
      <c r="R73" t="s">
        <v>51</v>
      </c>
      <c r="T73" t="s">
        <v>48</v>
      </c>
      <c r="U73">
        <v>8760</v>
      </c>
      <c r="V73">
        <v>2</v>
      </c>
      <c r="W73">
        <v>0.99890309572219849</v>
      </c>
      <c r="X73">
        <v>0.99890320795570176</v>
      </c>
      <c r="Y73">
        <v>0.99868017435073853</v>
      </c>
      <c r="Z73">
        <v>0.99912601709365845</v>
      </c>
      <c r="AA73">
        <f t="shared" si="2"/>
        <v>-2.3646823351016703E-2</v>
      </c>
      <c r="AB73">
        <f t="shared" si="3"/>
        <v>-2.7958624799644092E-2</v>
      </c>
    </row>
    <row r="74" spans="1:28" x14ac:dyDescent="0.3">
      <c r="A74" t="s">
        <v>3</v>
      </c>
      <c r="B74" t="s">
        <v>123</v>
      </c>
      <c r="C74" t="s">
        <v>47</v>
      </c>
      <c r="D74">
        <v>252.26921306743066</v>
      </c>
      <c r="E74">
        <v>255.56</v>
      </c>
      <c r="F74">
        <v>252.27</v>
      </c>
      <c r="G74">
        <v>371355.71906249999</v>
      </c>
      <c r="H74">
        <v>398975.6499999995</v>
      </c>
      <c r="I74">
        <v>396495.50999999989</v>
      </c>
      <c r="J74">
        <v>25139.7909374999</v>
      </c>
      <c r="K74">
        <v>27619.930937499506</v>
      </c>
      <c r="L74" t="s">
        <v>48</v>
      </c>
      <c r="M74">
        <v>8760</v>
      </c>
      <c r="N74">
        <v>417</v>
      </c>
      <c r="O74" t="s">
        <v>49</v>
      </c>
      <c r="P74" t="s">
        <v>50</v>
      </c>
      <c r="Q74" t="s">
        <v>51</v>
      </c>
      <c r="R74" t="s">
        <v>51</v>
      </c>
      <c r="T74" t="s">
        <v>48</v>
      </c>
      <c r="U74">
        <v>8760</v>
      </c>
      <c r="V74">
        <v>2</v>
      </c>
      <c r="W74">
        <v>0.98377755284309387</v>
      </c>
      <c r="X74">
        <v>0.98376611703424899</v>
      </c>
      <c r="Y74">
        <v>0.97075361013412476</v>
      </c>
      <c r="Z74">
        <v>0.99680149555206299</v>
      </c>
      <c r="AA74">
        <f t="shared" si="2"/>
        <v>6.769733074521149E-2</v>
      </c>
      <c r="AB74">
        <f t="shared" si="3"/>
        <v>7.4375940694348136E-2</v>
      </c>
    </row>
    <row r="75" spans="1:28" x14ac:dyDescent="0.3">
      <c r="A75" t="s">
        <v>3</v>
      </c>
      <c r="B75" t="s">
        <v>124</v>
      </c>
      <c r="C75" t="s">
        <v>47</v>
      </c>
      <c r="D75">
        <v>229.29124711328245</v>
      </c>
      <c r="E75">
        <v>232.73</v>
      </c>
      <c r="F75">
        <v>229.29</v>
      </c>
      <c r="G75">
        <v>366837.97201562498</v>
      </c>
      <c r="H75">
        <v>358792.40999999893</v>
      </c>
      <c r="I75">
        <v>357819.61000000057</v>
      </c>
      <c r="J75">
        <v>-9018.3620156244142</v>
      </c>
      <c r="K75">
        <v>-8045.5620156260557</v>
      </c>
      <c r="L75" t="s">
        <v>48</v>
      </c>
      <c r="M75">
        <v>8760</v>
      </c>
      <c r="N75">
        <v>377</v>
      </c>
      <c r="O75" t="s">
        <v>49</v>
      </c>
      <c r="P75" t="s">
        <v>50</v>
      </c>
      <c r="Q75" t="s">
        <v>51</v>
      </c>
      <c r="R75" t="s">
        <v>51</v>
      </c>
      <c r="T75" t="s">
        <v>48</v>
      </c>
      <c r="U75">
        <v>8760</v>
      </c>
      <c r="V75">
        <v>2</v>
      </c>
      <c r="W75">
        <v>0.99550414085388184</v>
      </c>
      <c r="X75">
        <v>0.99549859396732054</v>
      </c>
      <c r="Y75">
        <v>0.99248450994491577</v>
      </c>
      <c r="Z75">
        <v>0.9985237717628479</v>
      </c>
      <c r="AA75">
        <f t="shared" si="2"/>
        <v>-2.458404719138587E-2</v>
      </c>
      <c r="AB75">
        <f t="shared" si="3"/>
        <v>-2.1932195218011305E-2</v>
      </c>
    </row>
    <row r="76" spans="1:28" x14ac:dyDescent="0.3">
      <c r="A76" t="s">
        <v>3</v>
      </c>
      <c r="B76" t="s">
        <v>125</v>
      </c>
      <c r="C76" t="s">
        <v>47</v>
      </c>
      <c r="D76">
        <v>182.37776185766984</v>
      </c>
      <c r="E76">
        <v>186.36</v>
      </c>
      <c r="F76">
        <v>182.38</v>
      </c>
      <c r="G76">
        <v>251883.01949999999</v>
      </c>
      <c r="H76">
        <v>293306.3000000008</v>
      </c>
      <c r="I76">
        <v>291212.890000001</v>
      </c>
      <c r="J76">
        <v>39329.870500001009</v>
      </c>
      <c r="K76">
        <v>41423.280500000808</v>
      </c>
      <c r="L76" t="s">
        <v>48</v>
      </c>
      <c r="M76">
        <v>8760</v>
      </c>
      <c r="N76">
        <v>301</v>
      </c>
      <c r="O76" t="s">
        <v>49</v>
      </c>
      <c r="P76" t="s">
        <v>50</v>
      </c>
      <c r="Q76" t="s">
        <v>51</v>
      </c>
      <c r="R76" t="s">
        <v>51</v>
      </c>
      <c r="T76" t="s">
        <v>48</v>
      </c>
      <c r="U76">
        <v>8760</v>
      </c>
      <c r="V76">
        <v>2</v>
      </c>
      <c r="W76">
        <v>0.99205893278121948</v>
      </c>
      <c r="X76">
        <v>0.99205721600918984</v>
      </c>
      <c r="Y76">
        <v>0.98658561706542969</v>
      </c>
      <c r="Z76">
        <v>0.99753224849700928</v>
      </c>
      <c r="AA76">
        <f t="shared" si="2"/>
        <v>0.15614339774897373</v>
      </c>
      <c r="AB76">
        <f t="shared" si="3"/>
        <v>0.16445443834295789</v>
      </c>
    </row>
    <row r="77" spans="1:28" x14ac:dyDescent="0.3">
      <c r="A77" t="s">
        <v>3</v>
      </c>
      <c r="B77" t="s">
        <v>126</v>
      </c>
      <c r="C77" t="s">
        <v>47</v>
      </c>
      <c r="D77">
        <v>230.85824335704669</v>
      </c>
      <c r="E77">
        <v>233.03</v>
      </c>
      <c r="F77">
        <v>230.83</v>
      </c>
      <c r="G77">
        <v>362861.19197656249</v>
      </c>
      <c r="H77">
        <v>344266.43999999884</v>
      </c>
      <c r="I77">
        <v>346331.63000000059</v>
      </c>
      <c r="J77">
        <v>-16529.561976561905</v>
      </c>
      <c r="K77">
        <v>-18594.751976563653</v>
      </c>
      <c r="L77" t="s">
        <v>48</v>
      </c>
      <c r="M77">
        <v>8760</v>
      </c>
      <c r="N77">
        <v>381</v>
      </c>
      <c r="O77" t="s">
        <v>49</v>
      </c>
      <c r="P77" t="s">
        <v>50</v>
      </c>
      <c r="Q77" t="s">
        <v>51</v>
      </c>
      <c r="R77" t="s">
        <v>51</v>
      </c>
      <c r="T77" t="s">
        <v>48</v>
      </c>
      <c r="U77">
        <v>8760</v>
      </c>
      <c r="V77">
        <v>2</v>
      </c>
      <c r="W77">
        <v>0.9873211681842804</v>
      </c>
      <c r="X77">
        <v>0.98731893261245118</v>
      </c>
      <c r="Y77">
        <v>0.98582804203033447</v>
      </c>
      <c r="Z77">
        <v>0.98881429433822632</v>
      </c>
      <c r="AA77">
        <f t="shared" si="2"/>
        <v>-4.5553402629040479E-2</v>
      </c>
      <c r="AB77">
        <f t="shared" si="3"/>
        <v>-5.1244807622647902E-2</v>
      </c>
    </row>
    <row r="78" spans="1:28" x14ac:dyDescent="0.3">
      <c r="A78" t="s">
        <v>3</v>
      </c>
      <c r="B78" t="s">
        <v>127</v>
      </c>
      <c r="C78" t="s">
        <v>47</v>
      </c>
      <c r="D78">
        <v>189.9355324422919</v>
      </c>
      <c r="E78">
        <v>192.73</v>
      </c>
      <c r="F78">
        <v>189.94</v>
      </c>
      <c r="G78">
        <v>273788.49831250001</v>
      </c>
      <c r="H78">
        <v>308125.7300000008</v>
      </c>
      <c r="I78">
        <v>303439.00999999978</v>
      </c>
      <c r="J78">
        <v>29650.511687499762</v>
      </c>
      <c r="K78">
        <v>34337.231687500782</v>
      </c>
      <c r="L78" t="s">
        <v>48</v>
      </c>
      <c r="M78">
        <v>8760</v>
      </c>
      <c r="N78">
        <v>314</v>
      </c>
      <c r="O78" t="s">
        <v>49</v>
      </c>
      <c r="P78" t="s">
        <v>50</v>
      </c>
      <c r="Q78" t="s">
        <v>51</v>
      </c>
      <c r="R78" t="s">
        <v>51</v>
      </c>
      <c r="T78" t="s">
        <v>48</v>
      </c>
      <c r="U78">
        <v>8760</v>
      </c>
      <c r="V78">
        <v>2</v>
      </c>
      <c r="W78">
        <v>0.99640259146690369</v>
      </c>
      <c r="X78">
        <v>0.99639859544392495</v>
      </c>
      <c r="Y78">
        <v>0.99389475584030151</v>
      </c>
      <c r="Z78">
        <v>0.99891042709350586</v>
      </c>
      <c r="AA78">
        <f t="shared" si="2"/>
        <v>0.10829714129794052</v>
      </c>
      <c r="AB78">
        <f t="shared" si="3"/>
        <v>0.12541517229225801</v>
      </c>
    </row>
    <row r="79" spans="1:28" x14ac:dyDescent="0.3">
      <c r="A79" t="s">
        <v>3</v>
      </c>
      <c r="B79" t="s">
        <v>128</v>
      </c>
      <c r="C79" t="s">
        <v>47</v>
      </c>
      <c r="D79">
        <v>270.80781883463737</v>
      </c>
      <c r="E79">
        <v>273.14999999999998</v>
      </c>
      <c r="F79">
        <v>270.81</v>
      </c>
      <c r="G79">
        <v>394834.45054687501</v>
      </c>
      <c r="H79">
        <v>414711.04000000033</v>
      </c>
      <c r="I79">
        <v>413320.24999999924</v>
      </c>
      <c r="J79">
        <v>18485.799453124229</v>
      </c>
      <c r="K79">
        <v>19876.589453125314</v>
      </c>
      <c r="L79" t="s">
        <v>48</v>
      </c>
      <c r="M79">
        <v>8760</v>
      </c>
      <c r="N79">
        <v>446</v>
      </c>
      <c r="O79" t="s">
        <v>49</v>
      </c>
      <c r="P79" t="s">
        <v>50</v>
      </c>
      <c r="Q79" t="s">
        <v>51</v>
      </c>
      <c r="R79" t="s">
        <v>51</v>
      </c>
      <c r="T79" t="s">
        <v>48</v>
      </c>
      <c r="U79">
        <v>8760</v>
      </c>
      <c r="V79">
        <v>2</v>
      </c>
      <c r="W79">
        <v>0.98778241872787476</v>
      </c>
      <c r="X79">
        <v>0.98778222935442983</v>
      </c>
      <c r="Y79">
        <v>0.98357856273651123</v>
      </c>
      <c r="Z79">
        <v>0.99198627471923828</v>
      </c>
      <c r="AA79">
        <f t="shared" si="2"/>
        <v>4.6819114764479204E-2</v>
      </c>
      <c r="AB79">
        <f t="shared" si="3"/>
        <v>5.0341578414940143E-2</v>
      </c>
    </row>
    <row r="80" spans="1:28" x14ac:dyDescent="0.3">
      <c r="A80" t="s">
        <v>3</v>
      </c>
      <c r="B80" t="s">
        <v>129</v>
      </c>
      <c r="C80" t="s">
        <v>47</v>
      </c>
      <c r="D80">
        <v>182.02623338301825</v>
      </c>
      <c r="E80">
        <v>185.01</v>
      </c>
      <c r="F80">
        <v>182.03</v>
      </c>
      <c r="G80">
        <v>266032.46115624998</v>
      </c>
      <c r="H80">
        <v>290540.84999999945</v>
      </c>
      <c r="I80">
        <v>289923.64</v>
      </c>
      <c r="J80">
        <v>23891.178843750036</v>
      </c>
      <c r="K80">
        <v>24508.388843749475</v>
      </c>
      <c r="L80" t="s">
        <v>48</v>
      </c>
      <c r="M80">
        <v>8760</v>
      </c>
      <c r="N80">
        <v>301</v>
      </c>
      <c r="O80" t="s">
        <v>49</v>
      </c>
      <c r="P80" t="s">
        <v>50</v>
      </c>
      <c r="Q80" t="s">
        <v>51</v>
      </c>
      <c r="R80" t="s">
        <v>51</v>
      </c>
      <c r="T80" t="s">
        <v>48</v>
      </c>
      <c r="U80">
        <v>8760</v>
      </c>
      <c r="V80">
        <v>2</v>
      </c>
      <c r="W80">
        <v>0.9977971613407135</v>
      </c>
      <c r="X80">
        <v>0.99779710548729861</v>
      </c>
      <c r="Y80">
        <v>0.99755847454071045</v>
      </c>
      <c r="Z80">
        <v>0.99803584814071655</v>
      </c>
      <c r="AA80">
        <f t="shared" si="2"/>
        <v>8.9805502456025199E-2</v>
      </c>
      <c r="AB80">
        <f t="shared" si="3"/>
        <v>9.2125557675290085E-2</v>
      </c>
    </row>
    <row r="81" spans="1:28" x14ac:dyDescent="0.3">
      <c r="A81" t="s">
        <v>3</v>
      </c>
      <c r="B81" t="s">
        <v>130</v>
      </c>
      <c r="C81" t="s">
        <v>47</v>
      </c>
      <c r="D81">
        <v>161.54929316011675</v>
      </c>
      <c r="E81">
        <v>162.66</v>
      </c>
      <c r="F81">
        <v>161.54</v>
      </c>
      <c r="G81">
        <v>253201.16765625001</v>
      </c>
      <c r="H81">
        <v>248310.98000000056</v>
      </c>
      <c r="I81">
        <v>247484.32000000015</v>
      </c>
      <c r="J81">
        <v>-5716.8476562498545</v>
      </c>
      <c r="K81">
        <v>-4890.1876562494435</v>
      </c>
      <c r="L81" t="s">
        <v>48</v>
      </c>
      <c r="M81">
        <v>8760</v>
      </c>
      <c r="N81">
        <v>266</v>
      </c>
      <c r="O81" t="s">
        <v>49</v>
      </c>
      <c r="P81" t="s">
        <v>50</v>
      </c>
      <c r="Q81" t="s">
        <v>51</v>
      </c>
      <c r="R81" t="s">
        <v>51</v>
      </c>
      <c r="T81" t="s">
        <v>48</v>
      </c>
      <c r="U81">
        <v>8760</v>
      </c>
      <c r="V81">
        <v>2</v>
      </c>
      <c r="W81">
        <v>0.99459269642829895</v>
      </c>
      <c r="X81">
        <v>0.99459268694307179</v>
      </c>
      <c r="Y81">
        <v>0.99388426542282104</v>
      </c>
      <c r="Z81">
        <v>0.99530112743377686</v>
      </c>
      <c r="AA81">
        <f t="shared" si="2"/>
        <v>-2.2578283146036431E-2</v>
      </c>
      <c r="AB81">
        <f t="shared" si="3"/>
        <v>-1.9313448281124995E-2</v>
      </c>
    </row>
    <row r="82" spans="1:28" x14ac:dyDescent="0.3">
      <c r="A82" t="s">
        <v>3</v>
      </c>
      <c r="B82" t="s">
        <v>131</v>
      </c>
      <c r="C82" t="s">
        <v>47</v>
      </c>
      <c r="D82">
        <v>228.00089313279236</v>
      </c>
      <c r="E82">
        <v>230.86</v>
      </c>
      <c r="F82">
        <v>228</v>
      </c>
      <c r="G82">
        <v>367895.84490625001</v>
      </c>
      <c r="H82">
        <v>364671.62000000069</v>
      </c>
      <c r="I82">
        <v>361084.70999999909</v>
      </c>
      <c r="J82">
        <v>-6811.1349062509253</v>
      </c>
      <c r="K82">
        <v>-3224.2249062493211</v>
      </c>
      <c r="L82" t="s">
        <v>48</v>
      </c>
      <c r="M82">
        <v>8760</v>
      </c>
      <c r="N82">
        <v>374</v>
      </c>
      <c r="O82" t="s">
        <v>49</v>
      </c>
      <c r="P82" t="s">
        <v>50</v>
      </c>
      <c r="Q82" t="s">
        <v>51</v>
      </c>
      <c r="R82" t="s">
        <v>51</v>
      </c>
      <c r="T82" t="s">
        <v>48</v>
      </c>
      <c r="U82">
        <v>8760</v>
      </c>
      <c r="V82">
        <v>2</v>
      </c>
      <c r="W82">
        <v>0.98224553465843201</v>
      </c>
      <c r="X82">
        <v>0.98223583969249451</v>
      </c>
      <c r="Y82">
        <v>0.97194302082061768</v>
      </c>
      <c r="Z82">
        <v>0.99254804849624634</v>
      </c>
      <c r="AA82">
        <f t="shared" si="2"/>
        <v>-1.8513758718820512E-2</v>
      </c>
      <c r="AB82">
        <f t="shared" si="3"/>
        <v>-8.7639611887188953E-3</v>
      </c>
    </row>
    <row r="83" spans="1:28" x14ac:dyDescent="0.3">
      <c r="A83" t="s">
        <v>3</v>
      </c>
      <c r="B83" t="s">
        <v>132</v>
      </c>
      <c r="C83" t="s">
        <v>47</v>
      </c>
      <c r="D83">
        <v>214.32740980475589</v>
      </c>
      <c r="E83">
        <v>218.2</v>
      </c>
      <c r="F83">
        <v>214.33</v>
      </c>
      <c r="G83">
        <v>312395.91060937499</v>
      </c>
      <c r="H83">
        <v>316315.26000000007</v>
      </c>
      <c r="I83">
        <v>316129.53000000183</v>
      </c>
      <c r="J83">
        <v>3733.6193906268454</v>
      </c>
      <c r="K83">
        <v>3919.3493906250806</v>
      </c>
      <c r="L83" t="s">
        <v>48</v>
      </c>
      <c r="M83">
        <v>8760</v>
      </c>
      <c r="N83">
        <v>354</v>
      </c>
      <c r="O83" t="s">
        <v>49</v>
      </c>
      <c r="P83" t="s">
        <v>50</v>
      </c>
      <c r="Q83" t="s">
        <v>51</v>
      </c>
      <c r="R83" t="s">
        <v>51</v>
      </c>
      <c r="T83" t="s">
        <v>48</v>
      </c>
      <c r="U83">
        <v>8760</v>
      </c>
      <c r="V83">
        <v>2</v>
      </c>
      <c r="W83">
        <v>0.99516168236732483</v>
      </c>
      <c r="X83">
        <v>0.99515660573272768</v>
      </c>
      <c r="Y83">
        <v>0.99164247512817383</v>
      </c>
      <c r="Z83">
        <v>0.99868088960647583</v>
      </c>
      <c r="AA83">
        <f t="shared" si="2"/>
        <v>1.1951562948899881E-2</v>
      </c>
      <c r="AB83">
        <f t="shared" si="3"/>
        <v>1.2546096979886205E-2</v>
      </c>
    </row>
    <row r="84" spans="1:28" x14ac:dyDescent="0.3">
      <c r="A84" t="s">
        <v>3</v>
      </c>
      <c r="B84" t="s">
        <v>133</v>
      </c>
      <c r="C84" t="s">
        <v>47</v>
      </c>
      <c r="D84">
        <v>217.12756623063501</v>
      </c>
      <c r="E84">
        <v>219.83</v>
      </c>
      <c r="F84">
        <v>217.11</v>
      </c>
      <c r="G84">
        <v>291734.94297656248</v>
      </c>
      <c r="H84">
        <v>347252.36999999918</v>
      </c>
      <c r="I84">
        <v>346366.13999999908</v>
      </c>
      <c r="J84">
        <v>54631.197023436602</v>
      </c>
      <c r="K84">
        <v>55517.4270234367</v>
      </c>
      <c r="L84" t="s">
        <v>48</v>
      </c>
      <c r="M84">
        <v>8760</v>
      </c>
      <c r="N84">
        <v>358</v>
      </c>
      <c r="O84" t="s">
        <v>49</v>
      </c>
      <c r="P84" t="s">
        <v>50</v>
      </c>
      <c r="Q84" t="s">
        <v>51</v>
      </c>
      <c r="R84" t="s">
        <v>51</v>
      </c>
      <c r="T84" t="s">
        <v>48</v>
      </c>
      <c r="U84">
        <v>8760</v>
      </c>
      <c r="V84">
        <v>2</v>
      </c>
      <c r="W84">
        <v>0.96967697143554688</v>
      </c>
      <c r="X84">
        <v>0.96968264092350664</v>
      </c>
      <c r="Y84">
        <v>0.96514546871185303</v>
      </c>
      <c r="Z84">
        <v>0.97420847415924072</v>
      </c>
      <c r="AA84">
        <f t="shared" si="2"/>
        <v>0.18726312475988036</v>
      </c>
      <c r="AB84">
        <f t="shared" si="3"/>
        <v>0.19030091649973133</v>
      </c>
    </row>
    <row r="85" spans="1:28" x14ac:dyDescent="0.3">
      <c r="A85" t="s">
        <v>3</v>
      </c>
      <c r="B85" t="s">
        <v>134</v>
      </c>
      <c r="C85" t="s">
        <v>47</v>
      </c>
      <c r="D85">
        <v>249.443313773792</v>
      </c>
      <c r="E85">
        <v>259</v>
      </c>
      <c r="F85">
        <v>249.44</v>
      </c>
      <c r="G85">
        <v>433524.72362499998</v>
      </c>
      <c r="H85">
        <v>400193.17999999959</v>
      </c>
      <c r="I85">
        <v>394387.22000000015</v>
      </c>
      <c r="J85">
        <v>-39137.503624999837</v>
      </c>
      <c r="K85">
        <v>-33331.543625000399</v>
      </c>
      <c r="L85" t="s">
        <v>48</v>
      </c>
      <c r="M85">
        <v>8760</v>
      </c>
      <c r="N85">
        <v>411</v>
      </c>
      <c r="O85" t="s">
        <v>49</v>
      </c>
      <c r="P85" t="s">
        <v>50</v>
      </c>
      <c r="Q85" t="s">
        <v>51</v>
      </c>
      <c r="R85" t="s">
        <v>51</v>
      </c>
      <c r="T85" t="s">
        <v>48</v>
      </c>
      <c r="U85">
        <v>8760</v>
      </c>
      <c r="V85">
        <v>2</v>
      </c>
      <c r="W85">
        <v>0.99556061625480652</v>
      </c>
      <c r="X85">
        <v>0.9955541898238176</v>
      </c>
      <c r="Y85">
        <v>0.99191510677337646</v>
      </c>
      <c r="Z85">
        <v>0.99920612573623657</v>
      </c>
      <c r="AA85">
        <f t="shared" si="2"/>
        <v>-9.0277443228021934E-2</v>
      </c>
      <c r="AB85">
        <f t="shared" si="3"/>
        <v>-7.6884989041206955E-2</v>
      </c>
    </row>
    <row r="86" spans="1:28" x14ac:dyDescent="0.3">
      <c r="A86" t="s">
        <v>3</v>
      </c>
      <c r="B86" t="s">
        <v>135</v>
      </c>
      <c r="C86" t="s">
        <v>47</v>
      </c>
      <c r="D86">
        <v>189.8420517087396</v>
      </c>
      <c r="E86">
        <v>192.99</v>
      </c>
      <c r="F86">
        <v>183.47</v>
      </c>
      <c r="G86">
        <v>257908.26643750002</v>
      </c>
      <c r="H86">
        <v>307370.34999999928</v>
      </c>
      <c r="I86">
        <v>294977.04999999987</v>
      </c>
      <c r="J86">
        <v>37068.783562499855</v>
      </c>
      <c r="K86">
        <v>49462.083562499261</v>
      </c>
      <c r="L86" t="s">
        <v>48</v>
      </c>
      <c r="M86">
        <v>8760</v>
      </c>
      <c r="N86">
        <v>313</v>
      </c>
      <c r="O86" t="s">
        <v>49</v>
      </c>
      <c r="P86" t="s">
        <v>50</v>
      </c>
      <c r="Q86" t="s">
        <v>51</v>
      </c>
      <c r="R86" t="s">
        <v>51</v>
      </c>
      <c r="T86" t="s">
        <v>48</v>
      </c>
      <c r="U86">
        <v>8760</v>
      </c>
      <c r="V86">
        <v>2</v>
      </c>
      <c r="W86">
        <v>0.9867531955242157</v>
      </c>
      <c r="X86">
        <v>0.98675388448539558</v>
      </c>
      <c r="Y86">
        <v>0.98380720615386963</v>
      </c>
      <c r="Z86">
        <v>0.98969918489456177</v>
      </c>
      <c r="AA86">
        <f t="shared" si="2"/>
        <v>0.14372855928401537</v>
      </c>
      <c r="AB86">
        <f t="shared" si="3"/>
        <v>0.19178169139640824</v>
      </c>
    </row>
    <row r="87" spans="1:28" x14ac:dyDescent="0.3">
      <c r="A87" t="s">
        <v>3</v>
      </c>
      <c r="B87" t="s">
        <v>136</v>
      </c>
      <c r="C87" t="s">
        <v>47</v>
      </c>
      <c r="D87">
        <v>156.63172932768933</v>
      </c>
      <c r="E87">
        <v>160.22</v>
      </c>
      <c r="F87">
        <v>156.63</v>
      </c>
      <c r="G87">
        <v>295363.97685937502</v>
      </c>
      <c r="H87">
        <v>252564.50999999957</v>
      </c>
      <c r="I87">
        <v>251773.72999999972</v>
      </c>
      <c r="J87">
        <v>-43590.2468593753</v>
      </c>
      <c r="K87">
        <v>-42799.466859375447</v>
      </c>
      <c r="L87" t="s">
        <v>48</v>
      </c>
      <c r="M87">
        <v>8760</v>
      </c>
      <c r="N87">
        <v>259</v>
      </c>
      <c r="O87" t="s">
        <v>49</v>
      </c>
      <c r="P87" t="s">
        <v>50</v>
      </c>
      <c r="Q87" t="s">
        <v>51</v>
      </c>
      <c r="R87" t="s">
        <v>51</v>
      </c>
      <c r="T87" t="s">
        <v>48</v>
      </c>
      <c r="U87">
        <v>8760</v>
      </c>
      <c r="V87">
        <v>2</v>
      </c>
      <c r="W87">
        <v>0.97364524006843567</v>
      </c>
      <c r="X87">
        <v>0.97364060443829137</v>
      </c>
      <c r="Y87">
        <v>0.97036170959472656</v>
      </c>
      <c r="Z87">
        <v>0.97692877054214478</v>
      </c>
      <c r="AA87">
        <f t="shared" si="2"/>
        <v>-0.14758145973951636</v>
      </c>
      <c r="AB87">
        <f t="shared" si="3"/>
        <v>-0.14490415288440062</v>
      </c>
    </row>
    <row r="88" spans="1:28" x14ac:dyDescent="0.3">
      <c r="A88" t="s">
        <v>3</v>
      </c>
      <c r="B88" t="s">
        <v>137</v>
      </c>
      <c r="C88" t="s">
        <v>47</v>
      </c>
      <c r="D88">
        <v>146.53470417120252</v>
      </c>
      <c r="E88">
        <v>148.16999999999999</v>
      </c>
      <c r="F88">
        <v>146.53</v>
      </c>
      <c r="G88">
        <v>137950.26585937501</v>
      </c>
      <c r="H88">
        <v>234155.36000000007</v>
      </c>
      <c r="I88">
        <v>232179.08000000031</v>
      </c>
      <c r="J88">
        <v>94228.814140625298</v>
      </c>
      <c r="K88">
        <v>96205.094140625064</v>
      </c>
      <c r="L88" t="s">
        <v>48</v>
      </c>
      <c r="M88">
        <v>8760</v>
      </c>
      <c r="N88">
        <v>240</v>
      </c>
      <c r="O88" t="s">
        <v>49</v>
      </c>
      <c r="P88" t="s">
        <v>50</v>
      </c>
      <c r="Q88" t="s">
        <v>51</v>
      </c>
      <c r="R88" t="s">
        <v>51</v>
      </c>
      <c r="T88" t="s">
        <v>48</v>
      </c>
      <c r="U88">
        <v>8760</v>
      </c>
      <c r="V88">
        <v>2</v>
      </c>
      <c r="W88">
        <v>0.99639374017715454</v>
      </c>
      <c r="X88">
        <v>0.99639362335402915</v>
      </c>
      <c r="Y88">
        <v>0.99590009450912476</v>
      </c>
      <c r="Z88">
        <v>0.99688738584518433</v>
      </c>
      <c r="AA88">
        <f t="shared" si="2"/>
        <v>0.68306366467376811</v>
      </c>
      <c r="AB88">
        <f t="shared" si="3"/>
        <v>0.69738969723114186</v>
      </c>
    </row>
    <row r="89" spans="1:28" x14ac:dyDescent="0.3">
      <c r="A89" t="s">
        <v>3</v>
      </c>
      <c r="B89" t="s">
        <v>138</v>
      </c>
      <c r="C89" t="s">
        <v>47</v>
      </c>
      <c r="D89">
        <v>125.02525170775829</v>
      </c>
      <c r="E89">
        <v>126.2</v>
      </c>
      <c r="F89">
        <v>125.03</v>
      </c>
      <c r="G89">
        <v>147512.66846874999</v>
      </c>
      <c r="H89">
        <v>201350.76999999993</v>
      </c>
      <c r="I89">
        <v>200367.25999999951</v>
      </c>
      <c r="J89">
        <v>52854.59153124952</v>
      </c>
      <c r="K89">
        <v>53838.101531249937</v>
      </c>
      <c r="L89" t="s">
        <v>48</v>
      </c>
      <c r="M89">
        <v>8760</v>
      </c>
      <c r="N89">
        <v>206</v>
      </c>
      <c r="O89" t="s">
        <v>49</v>
      </c>
      <c r="P89" t="s">
        <v>50</v>
      </c>
      <c r="Q89" t="s">
        <v>51</v>
      </c>
      <c r="R89" t="s">
        <v>51</v>
      </c>
      <c r="T89" t="s">
        <v>48</v>
      </c>
      <c r="U89">
        <v>8760</v>
      </c>
      <c r="V89">
        <v>2</v>
      </c>
      <c r="W89">
        <v>0.99880024790763855</v>
      </c>
      <c r="X89">
        <v>0.99880075819705261</v>
      </c>
      <c r="Y89">
        <v>0.99805533885955811</v>
      </c>
      <c r="Z89">
        <v>0.99954515695571899</v>
      </c>
      <c r="AA89">
        <f t="shared" si="2"/>
        <v>0.35830543966091</v>
      </c>
      <c r="AB89">
        <f t="shared" si="3"/>
        <v>0.3649727314278457</v>
      </c>
    </row>
    <row r="90" spans="1:28" x14ac:dyDescent="0.3">
      <c r="A90" t="s">
        <v>3</v>
      </c>
      <c r="B90" t="s">
        <v>139</v>
      </c>
      <c r="C90" t="s">
        <v>47</v>
      </c>
      <c r="D90">
        <v>143.79446984026313</v>
      </c>
      <c r="E90">
        <v>144.83000000000001</v>
      </c>
      <c r="F90">
        <v>143.79</v>
      </c>
      <c r="G90">
        <v>218112.37403125002</v>
      </c>
      <c r="H90">
        <v>233845.5100000001</v>
      </c>
      <c r="I90">
        <v>231837.34999999986</v>
      </c>
      <c r="J90">
        <v>13724.975968749844</v>
      </c>
      <c r="K90">
        <v>15733.135968750081</v>
      </c>
      <c r="L90" t="s">
        <v>48</v>
      </c>
      <c r="M90">
        <v>8760</v>
      </c>
      <c r="N90">
        <v>237</v>
      </c>
      <c r="O90" t="s">
        <v>49</v>
      </c>
      <c r="P90" t="s">
        <v>50</v>
      </c>
      <c r="Q90" t="s">
        <v>51</v>
      </c>
      <c r="R90" t="s">
        <v>51</v>
      </c>
      <c r="T90" t="s">
        <v>48</v>
      </c>
      <c r="U90">
        <v>8760</v>
      </c>
      <c r="V90">
        <v>2</v>
      </c>
      <c r="W90">
        <v>0.99759048223495483</v>
      </c>
      <c r="X90">
        <v>0.99759035425108844</v>
      </c>
      <c r="Y90">
        <v>0.99745267629623413</v>
      </c>
      <c r="Z90">
        <v>0.99772828817367554</v>
      </c>
      <c r="AA90">
        <f t="shared" si="2"/>
        <v>6.2926168355690815E-2</v>
      </c>
      <c r="AB90">
        <f t="shared" si="3"/>
        <v>7.2133165477791361E-2</v>
      </c>
    </row>
    <row r="91" spans="1:28" x14ac:dyDescent="0.3">
      <c r="A91" t="s">
        <v>3</v>
      </c>
      <c r="B91" t="s">
        <v>140</v>
      </c>
      <c r="C91" t="s">
        <v>47</v>
      </c>
      <c r="D91">
        <v>139.47900079617625</v>
      </c>
      <c r="E91">
        <v>141.36000000000001</v>
      </c>
      <c r="F91">
        <v>139.47999999999999</v>
      </c>
      <c r="G91">
        <v>186360.48868750001</v>
      </c>
      <c r="H91">
        <v>226524.83999999994</v>
      </c>
      <c r="I91">
        <v>225214.41999999987</v>
      </c>
      <c r="J91">
        <v>38853.931312499859</v>
      </c>
      <c r="K91">
        <v>40164.35131249993</v>
      </c>
      <c r="L91" t="s">
        <v>48</v>
      </c>
      <c r="M91">
        <v>8760</v>
      </c>
      <c r="N91">
        <v>230</v>
      </c>
      <c r="O91" t="s">
        <v>49</v>
      </c>
      <c r="P91" t="s">
        <v>50</v>
      </c>
      <c r="Q91" t="s">
        <v>51</v>
      </c>
      <c r="R91" t="s">
        <v>51</v>
      </c>
      <c r="T91" t="s">
        <v>48</v>
      </c>
      <c r="U91">
        <v>8760</v>
      </c>
      <c r="V91">
        <v>2</v>
      </c>
      <c r="W91">
        <v>0.99766504764556885</v>
      </c>
      <c r="X91">
        <v>0.99766514994669653</v>
      </c>
      <c r="Y91">
        <v>0.99760419130325317</v>
      </c>
      <c r="Z91">
        <v>0.99772590398788452</v>
      </c>
      <c r="AA91">
        <f t="shared" si="2"/>
        <v>0.20848803083819106</v>
      </c>
      <c r="AB91">
        <f t="shared" si="3"/>
        <v>0.21551967155360827</v>
      </c>
    </row>
    <row r="92" spans="1:28" x14ac:dyDescent="0.3">
      <c r="A92" t="s">
        <v>3</v>
      </c>
      <c r="B92" t="s">
        <v>141</v>
      </c>
      <c r="C92" t="s">
        <v>47</v>
      </c>
      <c r="D92">
        <v>127.65413573463212</v>
      </c>
      <c r="E92">
        <v>130.07</v>
      </c>
      <c r="F92">
        <v>127.65</v>
      </c>
      <c r="G92">
        <v>240679.458125</v>
      </c>
      <c r="H92">
        <v>202690.30999999933</v>
      </c>
      <c r="I92">
        <v>203293.3900000001</v>
      </c>
      <c r="J92">
        <v>-37386.068124999903</v>
      </c>
      <c r="K92">
        <v>-37989.148125000676</v>
      </c>
      <c r="L92" t="s">
        <v>48</v>
      </c>
      <c r="M92">
        <v>8760</v>
      </c>
      <c r="N92">
        <v>210</v>
      </c>
      <c r="O92" t="s">
        <v>49</v>
      </c>
      <c r="P92" t="s">
        <v>50</v>
      </c>
      <c r="Q92" t="s">
        <v>51</v>
      </c>
      <c r="R92" t="s">
        <v>51</v>
      </c>
      <c r="T92" t="s">
        <v>48</v>
      </c>
      <c r="U92">
        <v>8760</v>
      </c>
      <c r="V92">
        <v>2</v>
      </c>
      <c r="W92">
        <v>0.99970036745071411</v>
      </c>
      <c r="X92">
        <v>0.99970066541077862</v>
      </c>
      <c r="Y92">
        <v>0.99957400560379028</v>
      </c>
      <c r="Z92">
        <v>0.99982672929763794</v>
      </c>
      <c r="AA92">
        <f t="shared" si="2"/>
        <v>-0.15533551727369671</v>
      </c>
      <c r="AB92">
        <f t="shared" si="3"/>
        <v>-0.15784125666956803</v>
      </c>
    </row>
    <row r="93" spans="1:28" x14ac:dyDescent="0.3">
      <c r="A93" t="s">
        <v>3</v>
      </c>
      <c r="B93" t="s">
        <v>142</v>
      </c>
      <c r="C93" t="s">
        <v>47</v>
      </c>
      <c r="D93">
        <v>148.16769408835682</v>
      </c>
      <c r="E93">
        <v>151.08000000000001</v>
      </c>
      <c r="F93">
        <v>148.16999999999999</v>
      </c>
      <c r="G93">
        <v>264275.81990624999</v>
      </c>
      <c r="H93">
        <v>236194.17000000022</v>
      </c>
      <c r="I93">
        <v>237472.29999999935</v>
      </c>
      <c r="J93">
        <v>-26803.519906250644</v>
      </c>
      <c r="K93">
        <v>-28081.649906249775</v>
      </c>
      <c r="L93" t="s">
        <v>48</v>
      </c>
      <c r="M93">
        <v>8760</v>
      </c>
      <c r="N93">
        <v>244</v>
      </c>
      <c r="O93" t="s">
        <v>49</v>
      </c>
      <c r="P93" t="s">
        <v>50</v>
      </c>
      <c r="Q93" t="s">
        <v>51</v>
      </c>
      <c r="R93" t="s">
        <v>51</v>
      </c>
      <c r="T93" t="s">
        <v>48</v>
      </c>
      <c r="U93">
        <v>8760</v>
      </c>
      <c r="V93">
        <v>2</v>
      </c>
      <c r="W93">
        <v>0.99553114175796509</v>
      </c>
      <c r="X93">
        <v>0.99554973803340374</v>
      </c>
      <c r="Y93">
        <v>0.99126547574996948</v>
      </c>
      <c r="Z93">
        <v>0.99979680776596069</v>
      </c>
      <c r="AA93">
        <f t="shared" si="2"/>
        <v>-0.10142252104547061</v>
      </c>
      <c r="AB93">
        <f t="shared" si="3"/>
        <v>-0.1062588696771863</v>
      </c>
    </row>
    <row r="94" spans="1:28" x14ac:dyDescent="0.3">
      <c r="A94" t="s">
        <v>3</v>
      </c>
      <c r="B94" t="s">
        <v>143</v>
      </c>
      <c r="C94" t="s">
        <v>47</v>
      </c>
      <c r="D94">
        <v>136.33278181254971</v>
      </c>
      <c r="E94">
        <v>139.51</v>
      </c>
      <c r="F94">
        <v>136.33000000000001</v>
      </c>
      <c r="G94">
        <v>210413.12689062502</v>
      </c>
      <c r="H94">
        <v>222399.05000000034</v>
      </c>
      <c r="I94">
        <v>219818.97999999957</v>
      </c>
      <c r="J94">
        <v>9405.8531093745551</v>
      </c>
      <c r="K94">
        <v>11985.923109375319</v>
      </c>
      <c r="L94" t="s">
        <v>48</v>
      </c>
      <c r="M94">
        <v>8760</v>
      </c>
      <c r="N94">
        <v>226</v>
      </c>
      <c r="O94" t="s">
        <v>49</v>
      </c>
      <c r="P94" t="s">
        <v>50</v>
      </c>
      <c r="Q94" t="s">
        <v>51</v>
      </c>
      <c r="R94" t="s">
        <v>51</v>
      </c>
      <c r="T94" t="s">
        <v>48</v>
      </c>
      <c r="U94">
        <v>8760</v>
      </c>
      <c r="V94">
        <v>2</v>
      </c>
      <c r="W94">
        <v>0.99908992648124695</v>
      </c>
      <c r="X94">
        <v>0.99909202175161504</v>
      </c>
      <c r="Y94">
        <v>0.99838197231292725</v>
      </c>
      <c r="Z94">
        <v>0.99979788064956665</v>
      </c>
      <c r="AA94">
        <f t="shared" si="2"/>
        <v>4.4701836089645765E-2</v>
      </c>
      <c r="AB94">
        <f t="shared" si="3"/>
        <v>5.6963761180193521E-2</v>
      </c>
    </row>
    <row r="95" spans="1:28" x14ac:dyDescent="0.3">
      <c r="A95" t="s">
        <v>3</v>
      </c>
      <c r="B95" t="s">
        <v>144</v>
      </c>
      <c r="C95" t="s">
        <v>47</v>
      </c>
      <c r="D95">
        <v>145.95654489301546</v>
      </c>
      <c r="E95">
        <v>148.93</v>
      </c>
      <c r="F95">
        <v>145.96</v>
      </c>
      <c r="G95">
        <v>250798.94418750002</v>
      </c>
      <c r="H95">
        <v>237096.88999999993</v>
      </c>
      <c r="I95">
        <v>235535.48999999993</v>
      </c>
      <c r="J95">
        <v>-15263.454187500087</v>
      </c>
      <c r="K95">
        <v>-13702.054187500093</v>
      </c>
      <c r="L95" t="s">
        <v>48</v>
      </c>
      <c r="M95">
        <v>8760</v>
      </c>
      <c r="N95">
        <v>241</v>
      </c>
      <c r="O95" t="s">
        <v>49</v>
      </c>
      <c r="P95" t="s">
        <v>50</v>
      </c>
      <c r="Q95" t="s">
        <v>51</v>
      </c>
      <c r="R95" t="s">
        <v>51</v>
      </c>
      <c r="T95" t="s">
        <v>48</v>
      </c>
      <c r="U95">
        <v>8760</v>
      </c>
      <c r="V95">
        <v>2</v>
      </c>
      <c r="W95">
        <v>0.99890491366386414</v>
      </c>
      <c r="X95">
        <v>0.99890478801550842</v>
      </c>
      <c r="Y95">
        <v>0.99812346696853638</v>
      </c>
      <c r="Z95">
        <v>0.99968636035919189</v>
      </c>
      <c r="AA95">
        <f t="shared" si="2"/>
        <v>-6.0859323937540032E-2</v>
      </c>
      <c r="AB95">
        <f t="shared" si="3"/>
        <v>-5.4633619897762761E-2</v>
      </c>
    </row>
    <row r="96" spans="1:28" x14ac:dyDescent="0.3">
      <c r="A96" t="s">
        <v>3</v>
      </c>
      <c r="B96" t="s">
        <v>145</v>
      </c>
      <c r="C96" t="s">
        <v>47</v>
      </c>
      <c r="D96">
        <v>151.7642404553967</v>
      </c>
      <c r="E96">
        <v>154.86000000000001</v>
      </c>
      <c r="F96">
        <v>151.76</v>
      </c>
      <c r="G96">
        <v>237129.74965625</v>
      </c>
      <c r="H96">
        <v>246725.4599999988</v>
      </c>
      <c r="I96">
        <v>244955.57000000033</v>
      </c>
      <c r="J96">
        <v>7825.8203437503253</v>
      </c>
      <c r="K96">
        <v>9595.7103437487967</v>
      </c>
      <c r="L96" t="s">
        <v>48</v>
      </c>
      <c r="M96">
        <v>8760</v>
      </c>
      <c r="N96">
        <v>250</v>
      </c>
      <c r="O96" t="s">
        <v>49</v>
      </c>
      <c r="P96" t="s">
        <v>50</v>
      </c>
      <c r="Q96" t="s">
        <v>51</v>
      </c>
      <c r="R96" t="s">
        <v>51</v>
      </c>
      <c r="T96" t="s">
        <v>48</v>
      </c>
      <c r="U96">
        <v>8760</v>
      </c>
      <c r="V96">
        <v>2</v>
      </c>
      <c r="W96">
        <v>0.99812713265419006</v>
      </c>
      <c r="X96">
        <v>0.99812720198632787</v>
      </c>
      <c r="Y96">
        <v>0.99632638692855835</v>
      </c>
      <c r="Z96">
        <v>0.99992787837982178</v>
      </c>
      <c r="AA96">
        <f t="shared" si="2"/>
        <v>3.3002271351843686E-2</v>
      </c>
      <c r="AB96">
        <f t="shared" si="3"/>
        <v>4.0466075461467868E-2</v>
      </c>
    </row>
    <row r="97" spans="1:28" x14ac:dyDescent="0.3">
      <c r="A97" t="s">
        <v>3</v>
      </c>
      <c r="B97" t="s">
        <v>146</v>
      </c>
      <c r="C97" t="s">
        <v>47</v>
      </c>
      <c r="D97">
        <v>137.83087197553371</v>
      </c>
      <c r="E97">
        <v>137.83000000000001</v>
      </c>
      <c r="F97">
        <v>137.83000000000001</v>
      </c>
      <c r="G97">
        <v>255457.77089062502</v>
      </c>
      <c r="H97">
        <v>221907.60000000012</v>
      </c>
      <c r="I97">
        <v>221681.87999999931</v>
      </c>
      <c r="J97">
        <v>-33775.890890625713</v>
      </c>
      <c r="K97">
        <v>-33550.170890624897</v>
      </c>
      <c r="L97" t="s">
        <v>48</v>
      </c>
      <c r="M97">
        <v>8760</v>
      </c>
      <c r="N97">
        <v>227</v>
      </c>
      <c r="O97" t="s">
        <v>49</v>
      </c>
      <c r="P97" t="s">
        <v>50</v>
      </c>
      <c r="Q97" t="s">
        <v>51</v>
      </c>
      <c r="R97" t="s">
        <v>51</v>
      </c>
      <c r="T97" t="s">
        <v>48</v>
      </c>
      <c r="U97">
        <v>8760</v>
      </c>
      <c r="AA97">
        <f t="shared" si="2"/>
        <v>-0.13221712055526766</v>
      </c>
      <c r="AB97">
        <f t="shared" si="3"/>
        <v>-0.13133353028821934</v>
      </c>
    </row>
    <row r="98" spans="1:28" x14ac:dyDescent="0.3">
      <c r="A98" t="s">
        <v>3</v>
      </c>
      <c r="B98" t="s">
        <v>147</v>
      </c>
      <c r="C98" t="s">
        <v>47</v>
      </c>
      <c r="D98">
        <v>135.82342391539532</v>
      </c>
      <c r="E98">
        <v>135.82</v>
      </c>
      <c r="F98">
        <v>135.82</v>
      </c>
      <c r="G98">
        <v>260934.71276562501</v>
      </c>
      <c r="H98">
        <v>218497.36000000025</v>
      </c>
      <c r="I98">
        <v>218678.8900000001</v>
      </c>
      <c r="J98">
        <v>-42255.822765624907</v>
      </c>
      <c r="K98">
        <v>-42437.352765624761</v>
      </c>
      <c r="L98" t="s">
        <v>48</v>
      </c>
      <c r="M98">
        <v>8760</v>
      </c>
      <c r="N98">
        <v>223</v>
      </c>
      <c r="O98" t="s">
        <v>49</v>
      </c>
      <c r="P98" t="s">
        <v>50</v>
      </c>
      <c r="Q98" t="s">
        <v>51</v>
      </c>
      <c r="R98" t="s">
        <v>51</v>
      </c>
      <c r="T98" t="s">
        <v>48</v>
      </c>
      <c r="U98">
        <v>8760</v>
      </c>
      <c r="AA98">
        <f t="shared" si="2"/>
        <v>-0.16194021223837568</v>
      </c>
      <c r="AB98">
        <f t="shared" si="3"/>
        <v>-0.16263590350181789</v>
      </c>
    </row>
    <row r="99" spans="1:28" x14ac:dyDescent="0.3">
      <c r="A99" t="s">
        <v>3</v>
      </c>
      <c r="B99" t="s">
        <v>148</v>
      </c>
      <c r="C99" t="s">
        <v>47</v>
      </c>
      <c r="D99">
        <v>132.79032692397885</v>
      </c>
      <c r="E99">
        <v>132.79</v>
      </c>
      <c r="F99">
        <v>132.79</v>
      </c>
      <c r="G99">
        <v>258813.97545312499</v>
      </c>
      <c r="H99">
        <v>211355.31000000011</v>
      </c>
      <c r="I99">
        <v>211315.38999999981</v>
      </c>
      <c r="J99">
        <v>-47498.585453125183</v>
      </c>
      <c r="K99">
        <v>-47458.665453124879</v>
      </c>
      <c r="L99" t="s">
        <v>48</v>
      </c>
      <c r="M99">
        <v>8760</v>
      </c>
      <c r="N99">
        <v>220</v>
      </c>
      <c r="O99" t="s">
        <v>49</v>
      </c>
      <c r="P99" t="s">
        <v>50</v>
      </c>
      <c r="Q99" t="s">
        <v>51</v>
      </c>
      <c r="R99" t="s">
        <v>51</v>
      </c>
      <c r="T99" t="s">
        <v>48</v>
      </c>
      <c r="U99">
        <v>8760</v>
      </c>
      <c r="AA99">
        <f t="shared" si="2"/>
        <v>-0.18352403640478013</v>
      </c>
      <c r="AB99">
        <f t="shared" si="3"/>
        <v>-0.18336979434760214</v>
      </c>
    </row>
    <row r="100" spans="1:28" x14ac:dyDescent="0.3">
      <c r="A100" t="s">
        <v>3</v>
      </c>
      <c r="B100" t="s">
        <v>149</v>
      </c>
      <c r="C100" t="s">
        <v>47</v>
      </c>
      <c r="D100">
        <v>144.94475128156424</v>
      </c>
      <c r="E100">
        <v>149.86000000000001</v>
      </c>
      <c r="F100">
        <v>144.94</v>
      </c>
      <c r="G100">
        <v>267095.01145312499</v>
      </c>
      <c r="H100">
        <v>234571.34000000005</v>
      </c>
      <c r="I100">
        <v>233257.33000000048</v>
      </c>
      <c r="J100">
        <v>-33837.681453124504</v>
      </c>
      <c r="K100">
        <v>-32523.671453124931</v>
      </c>
      <c r="L100" t="s">
        <v>48</v>
      </c>
      <c r="M100">
        <v>8760</v>
      </c>
      <c r="N100">
        <v>239</v>
      </c>
      <c r="O100" t="s">
        <v>49</v>
      </c>
      <c r="P100" t="s">
        <v>50</v>
      </c>
      <c r="Q100" t="s">
        <v>51</v>
      </c>
      <c r="R100" t="s">
        <v>51</v>
      </c>
      <c r="T100" t="s">
        <v>48</v>
      </c>
      <c r="U100">
        <v>8760</v>
      </c>
      <c r="V100">
        <v>2</v>
      </c>
      <c r="W100">
        <v>0.95279166102409363</v>
      </c>
      <c r="X100">
        <v>0.95280807886515306</v>
      </c>
      <c r="Y100">
        <v>0.94679450988769531</v>
      </c>
      <c r="Z100">
        <v>0.95878881216049194</v>
      </c>
      <c r="AA100">
        <f t="shared" si="2"/>
        <v>-0.12668780771692922</v>
      </c>
      <c r="AB100">
        <f t="shared" si="3"/>
        <v>-0.12176817259214448</v>
      </c>
    </row>
    <row r="101" spans="1:28" x14ac:dyDescent="0.3">
      <c r="A101" t="s">
        <v>3</v>
      </c>
      <c r="B101" t="s">
        <v>150</v>
      </c>
      <c r="C101" t="s">
        <v>47</v>
      </c>
      <c r="D101">
        <v>136.66970148586009</v>
      </c>
      <c r="E101">
        <v>138.80000000000001</v>
      </c>
      <c r="F101">
        <v>136.66999999999999</v>
      </c>
      <c r="G101">
        <v>248530.954890625</v>
      </c>
      <c r="H101">
        <v>218488.72999999943</v>
      </c>
      <c r="I101">
        <v>218830.91999999934</v>
      </c>
      <c r="J101">
        <v>-29700.034890625655</v>
      </c>
      <c r="K101">
        <v>-30042.22489062557</v>
      </c>
      <c r="L101" t="s">
        <v>48</v>
      </c>
      <c r="M101">
        <v>8760</v>
      </c>
      <c r="N101">
        <v>226</v>
      </c>
      <c r="O101" t="s">
        <v>49</v>
      </c>
      <c r="P101" t="s">
        <v>50</v>
      </c>
      <c r="Q101" t="s">
        <v>51</v>
      </c>
      <c r="R101" t="s">
        <v>51</v>
      </c>
      <c r="T101" t="s">
        <v>48</v>
      </c>
      <c r="U101">
        <v>8760</v>
      </c>
      <c r="V101">
        <v>2</v>
      </c>
      <c r="W101">
        <v>0.99896144866943359</v>
      </c>
      <c r="X101">
        <v>0.99896145109664347</v>
      </c>
      <c r="Y101">
        <v>0.99895989894866943</v>
      </c>
      <c r="Z101">
        <v>0.99896299839019775</v>
      </c>
      <c r="AA101">
        <f t="shared" si="2"/>
        <v>-0.11950235697479304</v>
      </c>
      <c r="AB101">
        <f t="shared" si="3"/>
        <v>-0.12087920759748713</v>
      </c>
    </row>
    <row r="102" spans="1:28" x14ac:dyDescent="0.3">
      <c r="A102" t="s">
        <v>3</v>
      </c>
      <c r="B102" t="s">
        <v>151</v>
      </c>
      <c r="C102" t="s">
        <v>47</v>
      </c>
      <c r="D102">
        <v>142.4767008628159</v>
      </c>
      <c r="E102">
        <v>144.66</v>
      </c>
      <c r="F102">
        <v>142.47999999999999</v>
      </c>
      <c r="G102">
        <v>278611.174203125</v>
      </c>
      <c r="H102">
        <v>229136.75000000032</v>
      </c>
      <c r="I102">
        <v>228997.69999999975</v>
      </c>
      <c r="J102">
        <v>-49613.474203125254</v>
      </c>
      <c r="K102">
        <v>-49474.424203124683</v>
      </c>
      <c r="L102" t="s">
        <v>48</v>
      </c>
      <c r="M102">
        <v>8760</v>
      </c>
      <c r="N102">
        <v>235</v>
      </c>
      <c r="O102" t="s">
        <v>49</v>
      </c>
      <c r="P102" t="s">
        <v>50</v>
      </c>
      <c r="Q102" t="s">
        <v>51</v>
      </c>
      <c r="R102" t="s">
        <v>51</v>
      </c>
      <c r="T102" t="s">
        <v>48</v>
      </c>
      <c r="U102">
        <v>8760</v>
      </c>
      <c r="V102">
        <v>2</v>
      </c>
      <c r="W102">
        <v>0.99987021088600159</v>
      </c>
      <c r="X102">
        <v>0.99987026844343574</v>
      </c>
      <c r="Y102">
        <v>0.99978154897689819</v>
      </c>
      <c r="Z102">
        <v>0.99995887279510498</v>
      </c>
      <c r="AA102">
        <f t="shared" si="2"/>
        <v>-0.17807424395316579</v>
      </c>
      <c r="AB102">
        <f t="shared" si="3"/>
        <v>-0.17757516131443718</v>
      </c>
    </row>
    <row r="103" spans="1:28" x14ac:dyDescent="0.3">
      <c r="A103" t="s">
        <v>3</v>
      </c>
      <c r="B103" t="s">
        <v>152</v>
      </c>
      <c r="C103" t="s">
        <v>47</v>
      </c>
      <c r="D103">
        <v>184.56669512538858</v>
      </c>
      <c r="E103">
        <v>196.14</v>
      </c>
      <c r="F103">
        <v>176.59</v>
      </c>
      <c r="G103">
        <v>421457.54653125</v>
      </c>
      <c r="H103">
        <v>303611.21999999991</v>
      </c>
      <c r="I103">
        <v>282367.67999999982</v>
      </c>
      <c r="J103">
        <v>-139089.86653125018</v>
      </c>
      <c r="K103">
        <v>-117846.32653125009</v>
      </c>
      <c r="L103" t="s">
        <v>48</v>
      </c>
      <c r="M103">
        <v>8760</v>
      </c>
      <c r="N103">
        <v>304</v>
      </c>
      <c r="O103" t="s">
        <v>49</v>
      </c>
      <c r="P103" t="s">
        <v>50</v>
      </c>
      <c r="Q103" t="s">
        <v>51</v>
      </c>
      <c r="R103" t="s">
        <v>51</v>
      </c>
      <c r="T103" t="s">
        <v>48</v>
      </c>
      <c r="U103">
        <v>8760</v>
      </c>
      <c r="V103">
        <v>2</v>
      </c>
      <c r="W103">
        <v>0.99959522485733032</v>
      </c>
      <c r="X103">
        <v>0.99959555974519709</v>
      </c>
      <c r="Y103">
        <v>0.99936693906784058</v>
      </c>
      <c r="Z103">
        <v>0.99982351064682007</v>
      </c>
      <c r="AA103">
        <f t="shared" si="2"/>
        <v>-0.33002106066437947</v>
      </c>
      <c r="AB103">
        <f t="shared" si="3"/>
        <v>-0.27961612622948273</v>
      </c>
    </row>
    <row r="104" spans="1:28" x14ac:dyDescent="0.3">
      <c r="A104" t="s">
        <v>3</v>
      </c>
      <c r="B104" t="s">
        <v>153</v>
      </c>
      <c r="C104" t="s">
        <v>47</v>
      </c>
      <c r="D104">
        <v>162.02966169247313</v>
      </c>
      <c r="E104">
        <v>162.03</v>
      </c>
      <c r="F104">
        <v>162.03</v>
      </c>
      <c r="G104">
        <v>315784.34151562501</v>
      </c>
      <c r="H104">
        <v>257768.29999999946</v>
      </c>
      <c r="I104">
        <v>260728.47000000018</v>
      </c>
      <c r="J104">
        <v>-55055.871515624836</v>
      </c>
      <c r="K104">
        <v>-58016.041515625548</v>
      </c>
      <c r="L104" t="s">
        <v>48</v>
      </c>
      <c r="M104">
        <v>8760</v>
      </c>
      <c r="N104">
        <v>267</v>
      </c>
      <c r="O104" t="s">
        <v>49</v>
      </c>
      <c r="P104" t="s">
        <v>50</v>
      </c>
      <c r="Q104" t="s">
        <v>51</v>
      </c>
      <c r="R104" t="s">
        <v>51</v>
      </c>
      <c r="T104" t="s">
        <v>48</v>
      </c>
      <c r="U104">
        <v>8760</v>
      </c>
      <c r="AA104">
        <f t="shared" si="2"/>
        <v>-0.17434642658778149</v>
      </c>
      <c r="AB104">
        <f t="shared" si="3"/>
        <v>-0.18372045059984368</v>
      </c>
    </row>
    <row r="105" spans="1:28" x14ac:dyDescent="0.3">
      <c r="A105" t="s">
        <v>3</v>
      </c>
      <c r="B105" t="s">
        <v>154</v>
      </c>
      <c r="C105" t="s">
        <v>47</v>
      </c>
      <c r="D105">
        <v>148.79339513769824</v>
      </c>
      <c r="E105">
        <v>154.6</v>
      </c>
      <c r="F105">
        <v>148.79</v>
      </c>
      <c r="G105">
        <v>281285.49954687501</v>
      </c>
      <c r="H105">
        <v>242460.83999999985</v>
      </c>
      <c r="I105">
        <v>239748.81999999969</v>
      </c>
      <c r="J105">
        <v>-41536.679546875326</v>
      </c>
      <c r="K105">
        <v>-38824.659546875162</v>
      </c>
      <c r="L105" t="s">
        <v>48</v>
      </c>
      <c r="M105">
        <v>8760</v>
      </c>
      <c r="N105">
        <v>244</v>
      </c>
      <c r="O105" t="s">
        <v>49</v>
      </c>
      <c r="P105" t="s">
        <v>50</v>
      </c>
      <c r="Q105" t="s">
        <v>51</v>
      </c>
      <c r="R105" t="s">
        <v>51</v>
      </c>
      <c r="T105" t="s">
        <v>48</v>
      </c>
      <c r="U105">
        <v>8760</v>
      </c>
      <c r="V105">
        <v>2</v>
      </c>
      <c r="W105">
        <v>0.99882173538208008</v>
      </c>
      <c r="X105">
        <v>0.99882096337679949</v>
      </c>
      <c r="Y105">
        <v>0.99835193157196045</v>
      </c>
      <c r="Z105">
        <v>0.99929153919219971</v>
      </c>
      <c r="AA105">
        <f t="shared" si="2"/>
        <v>-0.14766733306120325</v>
      </c>
      <c r="AB105">
        <f t="shared" si="3"/>
        <v>-0.13802581224207472</v>
      </c>
    </row>
    <row r="106" spans="1:28" x14ac:dyDescent="0.3">
      <c r="A106" t="s">
        <v>3</v>
      </c>
      <c r="B106" t="s">
        <v>155</v>
      </c>
      <c r="C106" t="s">
        <v>47</v>
      </c>
      <c r="D106">
        <v>148.7432783103533</v>
      </c>
      <c r="E106">
        <v>148.74</v>
      </c>
      <c r="F106">
        <v>148.74</v>
      </c>
      <c r="G106">
        <v>275540.47989062499</v>
      </c>
      <c r="H106">
        <v>238311.63000000012</v>
      </c>
      <c r="I106">
        <v>239177.95999999964</v>
      </c>
      <c r="J106">
        <v>-36362.51989062535</v>
      </c>
      <c r="K106">
        <v>-37228.849890624871</v>
      </c>
      <c r="L106" t="s">
        <v>48</v>
      </c>
      <c r="M106">
        <v>8760</v>
      </c>
      <c r="N106">
        <v>245</v>
      </c>
      <c r="O106" t="s">
        <v>49</v>
      </c>
      <c r="P106" t="s">
        <v>50</v>
      </c>
      <c r="Q106" t="s">
        <v>51</v>
      </c>
      <c r="R106" t="s">
        <v>51</v>
      </c>
      <c r="T106" t="s">
        <v>48</v>
      </c>
      <c r="U106">
        <v>8760</v>
      </c>
      <c r="AA106">
        <f t="shared" si="2"/>
        <v>-0.13196797764546012</v>
      </c>
      <c r="AB106">
        <f t="shared" si="3"/>
        <v>-0.13511208917616299</v>
      </c>
    </row>
    <row r="107" spans="1:28" x14ac:dyDescent="0.3">
      <c r="A107" t="s">
        <v>3</v>
      </c>
      <c r="B107" t="s">
        <v>156</v>
      </c>
      <c r="C107" t="s">
        <v>47</v>
      </c>
      <c r="D107">
        <v>158.15660949467693</v>
      </c>
      <c r="E107">
        <v>164.92</v>
      </c>
      <c r="F107">
        <v>158.16</v>
      </c>
      <c r="G107">
        <v>328480.82787500002</v>
      </c>
      <c r="H107">
        <v>262518.55999999965</v>
      </c>
      <c r="I107">
        <v>254621.27000000016</v>
      </c>
      <c r="J107">
        <v>-73859.557874999853</v>
      </c>
      <c r="K107">
        <v>-65962.267875000369</v>
      </c>
      <c r="L107" t="s">
        <v>48</v>
      </c>
      <c r="M107">
        <v>8760</v>
      </c>
      <c r="N107">
        <v>261</v>
      </c>
      <c r="O107" t="s">
        <v>49</v>
      </c>
      <c r="P107" t="s">
        <v>50</v>
      </c>
      <c r="Q107" t="s">
        <v>51</v>
      </c>
      <c r="R107" t="s">
        <v>51</v>
      </c>
      <c r="T107" t="s">
        <v>48</v>
      </c>
      <c r="U107">
        <v>8760</v>
      </c>
      <c r="V107">
        <v>2</v>
      </c>
      <c r="W107">
        <v>0.99993807077407837</v>
      </c>
      <c r="X107">
        <v>0.99993809792015464</v>
      </c>
      <c r="Y107">
        <v>0.99992871284484863</v>
      </c>
      <c r="Z107">
        <v>0.99994742870330811</v>
      </c>
      <c r="AA107">
        <f t="shared" si="2"/>
        <v>-0.22485195971043503</v>
      </c>
      <c r="AB107">
        <f t="shared" si="3"/>
        <v>-0.20081009994318946</v>
      </c>
    </row>
    <row r="108" spans="1:28" x14ac:dyDescent="0.3">
      <c r="A108" t="s">
        <v>3</v>
      </c>
      <c r="B108" t="s">
        <v>157</v>
      </c>
      <c r="C108" t="s">
        <v>47</v>
      </c>
      <c r="D108">
        <v>106.01779832005539</v>
      </c>
      <c r="E108">
        <v>109.06</v>
      </c>
      <c r="F108">
        <v>106.02</v>
      </c>
      <c r="G108">
        <v>133348.37739062501</v>
      </c>
      <c r="H108">
        <v>173495.7999999997</v>
      </c>
      <c r="I108">
        <v>171034.65000000031</v>
      </c>
      <c r="J108">
        <v>37686.272609375301</v>
      </c>
      <c r="K108">
        <v>40147.422609374684</v>
      </c>
      <c r="L108" t="s">
        <v>48</v>
      </c>
      <c r="M108">
        <v>8760</v>
      </c>
      <c r="N108">
        <v>173</v>
      </c>
      <c r="O108" t="s">
        <v>49</v>
      </c>
      <c r="P108" t="s">
        <v>50</v>
      </c>
      <c r="Q108" t="s">
        <v>51</v>
      </c>
      <c r="R108" t="s">
        <v>51</v>
      </c>
      <c r="T108" t="s">
        <v>48</v>
      </c>
      <c r="U108">
        <v>8760</v>
      </c>
      <c r="V108">
        <v>2</v>
      </c>
      <c r="W108">
        <v>0.99016010761260986</v>
      </c>
      <c r="X108">
        <v>0.99015655998158425</v>
      </c>
      <c r="Y108">
        <v>0.98068499565124512</v>
      </c>
      <c r="Z108">
        <v>0.99963521957397461</v>
      </c>
      <c r="AA108">
        <f t="shared" si="2"/>
        <v>0.28261515698071638</v>
      </c>
      <c r="AB108">
        <f t="shared" si="3"/>
        <v>0.30107169952108637</v>
      </c>
    </row>
    <row r="109" spans="1:28" x14ac:dyDescent="0.3">
      <c r="A109" t="s">
        <v>3</v>
      </c>
      <c r="B109" t="s">
        <v>158</v>
      </c>
      <c r="C109" t="s">
        <v>47</v>
      </c>
      <c r="D109">
        <v>159.89690855474794</v>
      </c>
      <c r="E109">
        <v>161.38</v>
      </c>
      <c r="F109">
        <v>144.02000000000001</v>
      </c>
      <c r="G109">
        <v>288808.57737499999</v>
      </c>
      <c r="H109">
        <v>259753.60999999978</v>
      </c>
      <c r="I109">
        <v>232238.10000000018</v>
      </c>
      <c r="J109">
        <v>-56570.477374999813</v>
      </c>
      <c r="K109">
        <v>-29054.967375000211</v>
      </c>
      <c r="L109" t="s">
        <v>48</v>
      </c>
      <c r="M109">
        <v>8760</v>
      </c>
      <c r="N109">
        <v>263</v>
      </c>
      <c r="O109" t="s">
        <v>49</v>
      </c>
      <c r="P109" t="s">
        <v>50</v>
      </c>
      <c r="Q109" t="s">
        <v>51</v>
      </c>
      <c r="R109" t="s">
        <v>51</v>
      </c>
      <c r="T109" t="s">
        <v>48</v>
      </c>
      <c r="U109">
        <v>8760</v>
      </c>
      <c r="V109">
        <v>2</v>
      </c>
      <c r="W109">
        <v>0.99853700399398804</v>
      </c>
      <c r="X109">
        <v>0.99853652513958091</v>
      </c>
      <c r="Y109">
        <v>0.99717426300048828</v>
      </c>
      <c r="Z109">
        <v>0.99989974498748779</v>
      </c>
      <c r="AA109">
        <f t="shared" si="2"/>
        <v>-0.19587533683788955</v>
      </c>
      <c r="AB109">
        <f t="shared" si="3"/>
        <v>-0.10060285480120676</v>
      </c>
    </row>
    <row r="110" spans="1:28" x14ac:dyDescent="0.3">
      <c r="A110" t="s">
        <v>3</v>
      </c>
      <c r="B110" t="s">
        <v>159</v>
      </c>
      <c r="C110" t="s">
        <v>47</v>
      </c>
      <c r="D110">
        <v>149.37739021202708</v>
      </c>
      <c r="E110">
        <v>152.25</v>
      </c>
      <c r="F110">
        <v>149.37</v>
      </c>
      <c r="G110">
        <v>334066.73137500003</v>
      </c>
      <c r="H110">
        <v>241562.88000000038</v>
      </c>
      <c r="I110">
        <v>240520.72999999989</v>
      </c>
      <c r="J110">
        <v>-93546.001375000138</v>
      </c>
      <c r="K110">
        <v>-92503.851374999649</v>
      </c>
      <c r="L110" t="s">
        <v>48</v>
      </c>
      <c r="M110">
        <v>8760</v>
      </c>
      <c r="N110">
        <v>247</v>
      </c>
      <c r="O110" t="s">
        <v>49</v>
      </c>
      <c r="P110" t="s">
        <v>50</v>
      </c>
      <c r="Q110" t="s">
        <v>51</v>
      </c>
      <c r="R110" t="s">
        <v>51</v>
      </c>
      <c r="T110" t="s">
        <v>48</v>
      </c>
      <c r="U110">
        <v>8760</v>
      </c>
      <c r="V110">
        <v>2</v>
      </c>
      <c r="W110">
        <v>0.97413018345832825</v>
      </c>
      <c r="X110">
        <v>0.97412978521440363</v>
      </c>
      <c r="Y110">
        <v>0.97191262245178223</v>
      </c>
      <c r="Z110">
        <v>0.97634774446487427</v>
      </c>
      <c r="AA110">
        <f t="shared" si="2"/>
        <v>-0.28002190158226775</v>
      </c>
      <c r="AB110">
        <f t="shared" si="3"/>
        <v>-0.27690231527772596</v>
      </c>
    </row>
    <row r="111" spans="1:28" x14ac:dyDescent="0.3">
      <c r="A111" t="s">
        <v>3</v>
      </c>
      <c r="B111" t="s">
        <v>160</v>
      </c>
      <c r="C111" t="s">
        <v>47</v>
      </c>
      <c r="D111">
        <v>161.87688584509854</v>
      </c>
      <c r="E111">
        <v>163.53</v>
      </c>
      <c r="F111">
        <v>161.84</v>
      </c>
      <c r="G111">
        <v>231869.833609375</v>
      </c>
      <c r="H111">
        <v>261235.9</v>
      </c>
      <c r="I111">
        <v>266816.44999999925</v>
      </c>
      <c r="J111">
        <v>34946.616390624258</v>
      </c>
      <c r="K111">
        <v>29366.066390624997</v>
      </c>
      <c r="L111" t="s">
        <v>48</v>
      </c>
      <c r="M111">
        <v>8760</v>
      </c>
      <c r="N111">
        <v>266</v>
      </c>
      <c r="O111" t="s">
        <v>49</v>
      </c>
      <c r="P111" t="s">
        <v>50</v>
      </c>
      <c r="Q111" t="s">
        <v>51</v>
      </c>
      <c r="R111" t="s">
        <v>51</v>
      </c>
      <c r="T111" t="s">
        <v>48</v>
      </c>
      <c r="U111">
        <v>8760</v>
      </c>
      <c r="V111">
        <v>2</v>
      </c>
      <c r="W111">
        <v>0.99761947989463806</v>
      </c>
      <c r="X111">
        <v>0.9976193618973368</v>
      </c>
      <c r="Y111">
        <v>0.99650037288665771</v>
      </c>
      <c r="Z111">
        <v>0.99873858690261841</v>
      </c>
      <c r="AA111">
        <f t="shared" si="2"/>
        <v>0.15071652852219622</v>
      </c>
      <c r="AB111">
        <f t="shared" si="3"/>
        <v>0.12664893027912047</v>
      </c>
    </row>
    <row r="112" spans="1:28" x14ac:dyDescent="0.3">
      <c r="A112" t="s">
        <v>3</v>
      </c>
      <c r="B112" t="s">
        <v>161</v>
      </c>
      <c r="C112" t="s">
        <v>47</v>
      </c>
      <c r="D112">
        <v>368.7150641456625</v>
      </c>
      <c r="E112">
        <v>384.24</v>
      </c>
      <c r="F112">
        <v>368.8</v>
      </c>
      <c r="G112">
        <v>673306.8891328125</v>
      </c>
      <c r="H112">
        <v>606711.40999999864</v>
      </c>
      <c r="I112">
        <v>585988.4800000001</v>
      </c>
      <c r="J112">
        <v>-87318.409132812405</v>
      </c>
      <c r="K112">
        <v>-66595.479132813867</v>
      </c>
      <c r="L112" t="s">
        <v>48</v>
      </c>
      <c r="M112">
        <v>8760</v>
      </c>
      <c r="N112">
        <v>609</v>
      </c>
      <c r="O112" t="s">
        <v>49</v>
      </c>
      <c r="P112" t="s">
        <v>50</v>
      </c>
      <c r="Q112" t="s">
        <v>51</v>
      </c>
      <c r="R112" t="s">
        <v>51</v>
      </c>
      <c r="T112" t="s">
        <v>48</v>
      </c>
      <c r="U112">
        <v>8760</v>
      </c>
      <c r="V112">
        <v>2</v>
      </c>
      <c r="W112">
        <v>0.99623116850852966</v>
      </c>
      <c r="X112">
        <v>0.99623149284583978</v>
      </c>
      <c r="Y112">
        <v>0.99409985542297363</v>
      </c>
      <c r="Z112">
        <v>0.99836248159408569</v>
      </c>
      <c r="AA112">
        <f t="shared" si="2"/>
        <v>-0.12968589887038642</v>
      </c>
      <c r="AB112">
        <f t="shared" si="3"/>
        <v>-9.8908061402112932E-2</v>
      </c>
    </row>
    <row r="113" spans="1:28" x14ac:dyDescent="0.3">
      <c r="A113" t="s">
        <v>3</v>
      </c>
      <c r="B113" t="s">
        <v>162</v>
      </c>
      <c r="C113" t="s">
        <v>47</v>
      </c>
      <c r="D113">
        <v>140.62422175360035</v>
      </c>
      <c r="E113">
        <v>143.91999999999999</v>
      </c>
      <c r="F113">
        <v>140.63</v>
      </c>
      <c r="G113">
        <v>226821.81312500002</v>
      </c>
      <c r="H113">
        <v>227829.87999999992</v>
      </c>
      <c r="I113">
        <v>226484.11000000034</v>
      </c>
      <c r="J113">
        <v>-337.70312499967986</v>
      </c>
      <c r="K113">
        <v>1008.0668749999022</v>
      </c>
      <c r="L113" t="s">
        <v>48</v>
      </c>
      <c r="M113">
        <v>8760</v>
      </c>
      <c r="N113">
        <v>232</v>
      </c>
      <c r="O113" t="s">
        <v>49</v>
      </c>
      <c r="P113" t="s">
        <v>50</v>
      </c>
      <c r="Q113" t="s">
        <v>51</v>
      </c>
      <c r="R113" t="s">
        <v>51</v>
      </c>
      <c r="T113" t="s">
        <v>48</v>
      </c>
      <c r="U113">
        <v>8760</v>
      </c>
      <c r="V113">
        <v>2</v>
      </c>
      <c r="W113">
        <v>0.99079462885856628</v>
      </c>
      <c r="X113">
        <v>0.99078591234113966</v>
      </c>
      <c r="Y113">
        <v>0.98546683788299561</v>
      </c>
      <c r="Z113">
        <v>0.99612241983413696</v>
      </c>
      <c r="AA113">
        <f t="shared" si="2"/>
        <v>-1.4888476568766949E-3</v>
      </c>
      <c r="AB113">
        <f t="shared" si="3"/>
        <v>4.4443118636229365E-3</v>
      </c>
    </row>
    <row r="114" spans="1:28" x14ac:dyDescent="0.3">
      <c r="A114" t="s">
        <v>3</v>
      </c>
      <c r="B114" t="s">
        <v>163</v>
      </c>
      <c r="C114" t="s">
        <v>47</v>
      </c>
      <c r="D114">
        <v>118.77514134674254</v>
      </c>
      <c r="E114">
        <v>123.92</v>
      </c>
      <c r="F114">
        <v>118.78</v>
      </c>
      <c r="G114">
        <v>189986.34928125</v>
      </c>
      <c r="H114">
        <v>191303.69000000038</v>
      </c>
      <c r="I114">
        <v>186692.2699999997</v>
      </c>
      <c r="J114">
        <v>-3294.0792812503059</v>
      </c>
      <c r="K114">
        <v>1317.3407187503763</v>
      </c>
      <c r="L114" t="s">
        <v>48</v>
      </c>
      <c r="M114">
        <v>8760</v>
      </c>
      <c r="N114">
        <v>196</v>
      </c>
      <c r="O114" t="s">
        <v>49</v>
      </c>
      <c r="P114" t="s">
        <v>50</v>
      </c>
      <c r="Q114" t="s">
        <v>51</v>
      </c>
      <c r="R114" t="s">
        <v>51</v>
      </c>
      <c r="T114" t="s">
        <v>48</v>
      </c>
      <c r="U114">
        <v>8760</v>
      </c>
      <c r="V114">
        <v>2</v>
      </c>
      <c r="W114">
        <v>0.99620717763900757</v>
      </c>
      <c r="X114">
        <v>0.99620056240880939</v>
      </c>
      <c r="Y114">
        <v>0.99373948574066162</v>
      </c>
      <c r="Z114">
        <v>0.99867486953735352</v>
      </c>
      <c r="AA114">
        <f t="shared" si="2"/>
        <v>-1.7338505075298074E-2</v>
      </c>
      <c r="AB114">
        <f t="shared" si="3"/>
        <v>6.9338703740247417E-3</v>
      </c>
    </row>
    <row r="115" spans="1:28" x14ac:dyDescent="0.3">
      <c r="A115" t="s">
        <v>3</v>
      </c>
      <c r="B115" t="s">
        <v>164</v>
      </c>
      <c r="C115" t="s">
        <v>47</v>
      </c>
      <c r="D115">
        <v>268.76302286252576</v>
      </c>
      <c r="E115">
        <v>274.89</v>
      </c>
      <c r="F115">
        <v>268.76</v>
      </c>
      <c r="G115">
        <v>501235.00746875</v>
      </c>
      <c r="H115">
        <v>435768.28999999992</v>
      </c>
      <c r="I115">
        <v>428888.00000000047</v>
      </c>
      <c r="J115">
        <v>-72347.007468749536</v>
      </c>
      <c r="K115">
        <v>-65466.717468750081</v>
      </c>
      <c r="L115" t="s">
        <v>48</v>
      </c>
      <c r="M115">
        <v>8760</v>
      </c>
      <c r="N115">
        <v>444</v>
      </c>
      <c r="O115" t="s">
        <v>49</v>
      </c>
      <c r="P115" t="s">
        <v>50</v>
      </c>
      <c r="Q115" t="s">
        <v>51</v>
      </c>
      <c r="R115" t="s">
        <v>51</v>
      </c>
      <c r="T115" t="s">
        <v>48</v>
      </c>
      <c r="U115">
        <v>8760</v>
      </c>
      <c r="V115">
        <v>2</v>
      </c>
      <c r="W115">
        <v>0.99800899624824524</v>
      </c>
      <c r="X115">
        <v>0.9980079949841979</v>
      </c>
      <c r="Y115">
        <v>0.99697685241699219</v>
      </c>
      <c r="Z115">
        <v>0.99904114007949829</v>
      </c>
      <c r="AA115">
        <f t="shared" si="2"/>
        <v>-0.14433749915853608</v>
      </c>
      <c r="AB115">
        <f t="shared" si="3"/>
        <v>-0.130610824250602</v>
      </c>
    </row>
    <row r="116" spans="1:28" x14ac:dyDescent="0.3">
      <c r="A116" t="s">
        <v>3</v>
      </c>
      <c r="B116" t="s">
        <v>165</v>
      </c>
      <c r="C116" t="s">
        <v>47</v>
      </c>
      <c r="D116">
        <v>259.62690924304076</v>
      </c>
      <c r="E116">
        <v>264.29000000000002</v>
      </c>
      <c r="F116">
        <v>259.63</v>
      </c>
      <c r="G116">
        <v>498627.57865625003</v>
      </c>
      <c r="H116">
        <v>419673.78000000014</v>
      </c>
      <c r="I116">
        <v>418725.21000000113</v>
      </c>
      <c r="J116">
        <v>-79902.368656248902</v>
      </c>
      <c r="K116">
        <v>-78953.798656249885</v>
      </c>
      <c r="L116" t="s">
        <v>48</v>
      </c>
      <c r="M116">
        <v>8760</v>
      </c>
      <c r="N116">
        <v>427</v>
      </c>
      <c r="O116" t="s">
        <v>49</v>
      </c>
      <c r="P116" t="s">
        <v>50</v>
      </c>
      <c r="Q116" t="s">
        <v>51</v>
      </c>
      <c r="R116" t="s">
        <v>51</v>
      </c>
      <c r="T116" t="s">
        <v>48</v>
      </c>
      <c r="U116">
        <v>8760</v>
      </c>
      <c r="V116">
        <v>2</v>
      </c>
      <c r="W116">
        <v>0.99800187349319458</v>
      </c>
      <c r="X116">
        <v>0.99800581517851517</v>
      </c>
      <c r="Y116">
        <v>0.99604439735412598</v>
      </c>
      <c r="Z116">
        <v>0.99995934963226318</v>
      </c>
      <c r="AA116">
        <f t="shared" si="2"/>
        <v>-0.16024458348568998</v>
      </c>
      <c r="AB116">
        <f t="shared" si="3"/>
        <v>-0.15834222180213586</v>
      </c>
    </row>
    <row r="117" spans="1:28" x14ac:dyDescent="0.3">
      <c r="A117" t="s">
        <v>3</v>
      </c>
      <c r="B117" t="s">
        <v>166</v>
      </c>
      <c r="C117" t="s">
        <v>47</v>
      </c>
      <c r="D117">
        <v>253.7518753339819</v>
      </c>
      <c r="E117">
        <v>257.64</v>
      </c>
      <c r="F117">
        <v>253.75</v>
      </c>
      <c r="G117">
        <v>508486.27242968749</v>
      </c>
      <c r="H117">
        <v>412433.52000000136</v>
      </c>
      <c r="I117">
        <v>410206.70000000088</v>
      </c>
      <c r="J117">
        <v>-98279.57242968661</v>
      </c>
      <c r="K117">
        <v>-96052.752429686137</v>
      </c>
      <c r="L117" t="s">
        <v>48</v>
      </c>
      <c r="M117">
        <v>8760</v>
      </c>
      <c r="N117">
        <v>420</v>
      </c>
      <c r="O117" t="s">
        <v>49</v>
      </c>
      <c r="P117" t="s">
        <v>50</v>
      </c>
      <c r="Q117" t="s">
        <v>51</v>
      </c>
      <c r="R117" t="s">
        <v>51</v>
      </c>
      <c r="T117" t="s">
        <v>48</v>
      </c>
      <c r="U117">
        <v>8760</v>
      </c>
      <c r="V117">
        <v>2</v>
      </c>
      <c r="W117">
        <v>0.99949702620506287</v>
      </c>
      <c r="X117">
        <v>0.9994971278971625</v>
      </c>
      <c r="Y117">
        <v>0.9992140531539917</v>
      </c>
      <c r="Z117">
        <v>0.99977999925613403</v>
      </c>
      <c r="AA117">
        <f t="shared" si="2"/>
        <v>-0.19327871322873622</v>
      </c>
      <c r="AB117">
        <f t="shared" si="3"/>
        <v>-0.18889940129695071</v>
      </c>
    </row>
    <row r="118" spans="1:28" x14ac:dyDescent="0.3">
      <c r="A118" t="s">
        <v>3</v>
      </c>
      <c r="B118" t="s">
        <v>167</v>
      </c>
      <c r="C118" t="s">
        <v>47</v>
      </c>
      <c r="D118">
        <v>281.0051166684575</v>
      </c>
      <c r="E118">
        <v>142.52000000000001</v>
      </c>
      <c r="F118">
        <v>281.01</v>
      </c>
      <c r="G118">
        <v>499854.17168750003</v>
      </c>
      <c r="H118">
        <v>230132.8199999996</v>
      </c>
      <c r="I118">
        <v>454197.50999999949</v>
      </c>
      <c r="J118">
        <v>-45656.661687500542</v>
      </c>
      <c r="K118">
        <v>-269721.35168750043</v>
      </c>
      <c r="L118" t="s">
        <v>48</v>
      </c>
      <c r="M118">
        <v>8760</v>
      </c>
      <c r="N118">
        <v>462</v>
      </c>
      <c r="O118" t="s">
        <v>49</v>
      </c>
      <c r="P118" t="s">
        <v>50</v>
      </c>
      <c r="Q118" t="s">
        <v>51</v>
      </c>
      <c r="R118" t="s">
        <v>51</v>
      </c>
      <c r="T118" t="s">
        <v>48</v>
      </c>
      <c r="U118">
        <v>8760</v>
      </c>
      <c r="V118">
        <v>2</v>
      </c>
      <c r="W118">
        <v>0.99970328807830811</v>
      </c>
      <c r="X118">
        <v>0.99970280721248639</v>
      </c>
      <c r="Y118">
        <v>0.99954187870025635</v>
      </c>
      <c r="Z118">
        <v>0.99986469745635986</v>
      </c>
      <c r="AA118">
        <f t="shared" si="2"/>
        <v>-9.1339963280419073E-2</v>
      </c>
      <c r="AB118">
        <f t="shared" si="3"/>
        <v>-0.53960008131356652</v>
      </c>
    </row>
    <row r="119" spans="1:28" x14ac:dyDescent="0.3">
      <c r="A119" t="s">
        <v>3</v>
      </c>
      <c r="B119" t="s">
        <v>168</v>
      </c>
      <c r="C119" t="s">
        <v>47</v>
      </c>
      <c r="D119">
        <v>229.88885462090192</v>
      </c>
      <c r="E119">
        <v>236.31</v>
      </c>
      <c r="F119">
        <v>229.89</v>
      </c>
      <c r="G119">
        <v>519652.52596875001</v>
      </c>
      <c r="H119">
        <v>310836.71999999898</v>
      </c>
      <c r="I119">
        <v>305421.56000000145</v>
      </c>
      <c r="J119">
        <v>-214230.96596874855</v>
      </c>
      <c r="K119">
        <v>-208815.80596875102</v>
      </c>
      <c r="L119" t="s">
        <v>48</v>
      </c>
      <c r="M119">
        <v>8760</v>
      </c>
      <c r="N119">
        <v>378</v>
      </c>
      <c r="O119" t="s">
        <v>49</v>
      </c>
      <c r="P119" t="s">
        <v>50</v>
      </c>
      <c r="Q119" t="s">
        <v>51</v>
      </c>
      <c r="R119" t="s">
        <v>51</v>
      </c>
      <c r="T119" t="s">
        <v>48</v>
      </c>
      <c r="U119">
        <v>8760</v>
      </c>
      <c r="V119">
        <v>2</v>
      </c>
      <c r="W119">
        <v>0.99480429291725159</v>
      </c>
      <c r="X119">
        <v>0.9948079120011567</v>
      </c>
      <c r="Y119">
        <v>0.99026370048522949</v>
      </c>
      <c r="Z119">
        <v>0.99934488534927368</v>
      </c>
      <c r="AA119">
        <f t="shared" si="2"/>
        <v>-0.41225810568201032</v>
      </c>
      <c r="AB119">
        <f t="shared" si="3"/>
        <v>-0.40183737311672074</v>
      </c>
    </row>
    <row r="120" spans="1:28" x14ac:dyDescent="0.3">
      <c r="A120" t="s">
        <v>3</v>
      </c>
      <c r="B120" t="s">
        <v>169</v>
      </c>
      <c r="C120" t="s">
        <v>47</v>
      </c>
      <c r="D120">
        <v>264.42665478801939</v>
      </c>
      <c r="E120">
        <v>275.52999999999997</v>
      </c>
      <c r="F120">
        <v>264.43</v>
      </c>
      <c r="G120">
        <v>601056.18704687501</v>
      </c>
      <c r="H120">
        <v>347430.12000000034</v>
      </c>
      <c r="I120">
        <v>338488.89</v>
      </c>
      <c r="J120">
        <v>-262567.297046875</v>
      </c>
      <c r="K120">
        <v>-253626.06704687467</v>
      </c>
      <c r="L120" t="s">
        <v>48</v>
      </c>
      <c r="M120">
        <v>8760</v>
      </c>
      <c r="N120">
        <v>438</v>
      </c>
      <c r="O120" t="s">
        <v>49</v>
      </c>
      <c r="P120" t="s">
        <v>50</v>
      </c>
      <c r="Q120" t="s">
        <v>51</v>
      </c>
      <c r="R120" t="s">
        <v>51</v>
      </c>
      <c r="T120" t="s">
        <v>48</v>
      </c>
      <c r="U120">
        <v>8760</v>
      </c>
      <c r="V120">
        <v>2</v>
      </c>
      <c r="W120">
        <v>0.99981018900871277</v>
      </c>
      <c r="X120">
        <v>0.99981013827574294</v>
      </c>
      <c r="Y120">
        <v>0.99974697828292847</v>
      </c>
      <c r="Z120">
        <v>0.99987339973449707</v>
      </c>
      <c r="AA120">
        <f t="shared" si="2"/>
        <v>-0.43684318156165652</v>
      </c>
      <c r="AB120">
        <f t="shared" si="3"/>
        <v>-0.42196731771949125</v>
      </c>
    </row>
    <row r="121" spans="1:28" x14ac:dyDescent="0.3">
      <c r="A121" t="s">
        <v>3</v>
      </c>
      <c r="B121" t="s">
        <v>170</v>
      </c>
      <c r="C121" t="s">
        <v>47</v>
      </c>
      <c r="D121">
        <v>169.59765640637158</v>
      </c>
      <c r="E121">
        <v>171.26</v>
      </c>
      <c r="F121">
        <v>169.62</v>
      </c>
      <c r="G121">
        <v>304919.26903125003</v>
      </c>
      <c r="H121">
        <v>273597.56999999925</v>
      </c>
      <c r="I121">
        <v>271142.05999999895</v>
      </c>
      <c r="J121">
        <v>-33777.209031251085</v>
      </c>
      <c r="K121">
        <v>-31321.699031250784</v>
      </c>
      <c r="L121" t="s">
        <v>48</v>
      </c>
      <c r="M121">
        <v>8760</v>
      </c>
      <c r="N121">
        <v>279</v>
      </c>
      <c r="O121" t="s">
        <v>49</v>
      </c>
      <c r="P121" t="s">
        <v>50</v>
      </c>
      <c r="Q121" t="s">
        <v>51</v>
      </c>
      <c r="R121" t="s">
        <v>51</v>
      </c>
      <c r="T121" t="s">
        <v>48</v>
      </c>
      <c r="U121">
        <v>8760</v>
      </c>
      <c r="V121">
        <v>2</v>
      </c>
      <c r="W121">
        <v>0.9961581826210022</v>
      </c>
      <c r="X121">
        <v>0.99615824783448603</v>
      </c>
      <c r="Y121">
        <v>0.99584972858428955</v>
      </c>
      <c r="Z121">
        <v>0.99646663665771484</v>
      </c>
      <c r="AA121">
        <f t="shared" si="2"/>
        <v>-0.11077426867302828</v>
      </c>
      <c r="AB121">
        <f t="shared" si="3"/>
        <v>-0.10272128465597476</v>
      </c>
    </row>
    <row r="122" spans="1:28" x14ac:dyDescent="0.3">
      <c r="A122" t="s">
        <v>3</v>
      </c>
      <c r="B122" t="s">
        <v>171</v>
      </c>
      <c r="C122" t="s">
        <v>47</v>
      </c>
      <c r="D122">
        <v>180.09436292188286</v>
      </c>
      <c r="E122">
        <v>181.44</v>
      </c>
      <c r="F122">
        <v>180.09</v>
      </c>
      <c r="G122">
        <v>337620.87993749999</v>
      </c>
      <c r="H122">
        <v>290301.16000000009</v>
      </c>
      <c r="I122">
        <v>289091.93999999936</v>
      </c>
      <c r="J122">
        <v>-48528.939937500632</v>
      </c>
      <c r="K122">
        <v>-47319.719937499904</v>
      </c>
      <c r="L122" t="s">
        <v>48</v>
      </c>
      <c r="M122">
        <v>8760</v>
      </c>
      <c r="N122">
        <v>296</v>
      </c>
      <c r="O122" t="s">
        <v>49</v>
      </c>
      <c r="P122" t="s">
        <v>50</v>
      </c>
      <c r="Q122" t="s">
        <v>51</v>
      </c>
      <c r="R122" t="s">
        <v>51</v>
      </c>
      <c r="T122" t="s">
        <v>48</v>
      </c>
      <c r="U122">
        <v>8760</v>
      </c>
      <c r="V122">
        <v>2</v>
      </c>
      <c r="W122">
        <v>0.99627295136451721</v>
      </c>
      <c r="X122">
        <v>0.9962702897749659</v>
      </c>
      <c r="Y122">
        <v>0.99428248405456543</v>
      </c>
      <c r="Z122">
        <v>0.99826341867446899</v>
      </c>
      <c r="AA122">
        <f t="shared" si="2"/>
        <v>-0.14373797007603398</v>
      </c>
      <c r="AB122">
        <f t="shared" si="3"/>
        <v>-0.14015637879463994</v>
      </c>
    </row>
    <row r="123" spans="1:28" x14ac:dyDescent="0.3">
      <c r="A123" t="s">
        <v>3</v>
      </c>
      <c r="B123" t="s">
        <v>172</v>
      </c>
      <c r="C123" t="s">
        <v>47</v>
      </c>
      <c r="D123">
        <v>170.34766711331602</v>
      </c>
      <c r="E123">
        <v>171.52</v>
      </c>
      <c r="F123">
        <v>170.35</v>
      </c>
      <c r="G123">
        <v>277868.53804687498</v>
      </c>
      <c r="H123">
        <v>274851.45999999903</v>
      </c>
      <c r="I123">
        <v>276931.5199999999</v>
      </c>
      <c r="J123">
        <v>-937.01804687507683</v>
      </c>
      <c r="K123">
        <v>-3017.0780468759476</v>
      </c>
      <c r="L123" t="s">
        <v>48</v>
      </c>
      <c r="M123">
        <v>8760</v>
      </c>
      <c r="N123">
        <v>281</v>
      </c>
      <c r="O123" t="s">
        <v>49</v>
      </c>
      <c r="P123" t="s">
        <v>50</v>
      </c>
      <c r="Q123" t="s">
        <v>51</v>
      </c>
      <c r="R123" t="s">
        <v>51</v>
      </c>
      <c r="T123" t="s">
        <v>48</v>
      </c>
      <c r="U123">
        <v>8760</v>
      </c>
      <c r="V123">
        <v>2</v>
      </c>
      <c r="W123">
        <v>0.99182888865470886</v>
      </c>
      <c r="X123">
        <v>0.99183121339420333</v>
      </c>
      <c r="Y123">
        <v>0.98636150360107422</v>
      </c>
      <c r="Z123">
        <v>0.99729627370834351</v>
      </c>
      <c r="AA123">
        <f t="shared" si="2"/>
        <v>-3.3721631583817769E-3</v>
      </c>
      <c r="AB123">
        <f t="shared" si="3"/>
        <v>-1.0857933280546437E-2</v>
      </c>
    </row>
    <row r="124" spans="1:28" x14ac:dyDescent="0.3">
      <c r="A124" t="s">
        <v>3</v>
      </c>
      <c r="B124" t="s">
        <v>173</v>
      </c>
      <c r="C124" t="s">
        <v>47</v>
      </c>
      <c r="D124">
        <v>182.5233219353056</v>
      </c>
      <c r="E124">
        <v>189.24</v>
      </c>
      <c r="F124">
        <v>182.55</v>
      </c>
      <c r="G124">
        <v>328545.49403125001</v>
      </c>
      <c r="H124">
        <v>305007.35999999981</v>
      </c>
      <c r="I124">
        <v>295321.25999999908</v>
      </c>
      <c r="J124">
        <v>-33224.234031250933</v>
      </c>
      <c r="K124">
        <v>-23538.1340312502</v>
      </c>
      <c r="L124" t="s">
        <v>48</v>
      </c>
      <c r="M124">
        <v>8760</v>
      </c>
      <c r="N124">
        <v>299</v>
      </c>
      <c r="O124" t="s">
        <v>49</v>
      </c>
      <c r="P124" t="s">
        <v>50</v>
      </c>
      <c r="Q124" t="s">
        <v>51</v>
      </c>
      <c r="R124" t="s">
        <v>51</v>
      </c>
      <c r="T124" t="s">
        <v>48</v>
      </c>
      <c r="U124">
        <v>8760</v>
      </c>
      <c r="V124">
        <v>2</v>
      </c>
      <c r="W124">
        <v>0.96551325917243958</v>
      </c>
      <c r="X124">
        <v>0.96545440583345887</v>
      </c>
      <c r="Y124">
        <v>0.93199425935745239</v>
      </c>
      <c r="Z124">
        <v>0.99903225898742676</v>
      </c>
      <c r="AA124">
        <f t="shared" si="2"/>
        <v>-0.10112521594373401</v>
      </c>
      <c r="AB124">
        <f t="shared" si="3"/>
        <v>-7.1643454130012635E-2</v>
      </c>
    </row>
    <row r="125" spans="1:28" x14ac:dyDescent="0.3">
      <c r="A125" t="s">
        <v>3</v>
      </c>
      <c r="B125" t="s">
        <v>174</v>
      </c>
      <c r="C125" t="s">
        <v>47</v>
      </c>
      <c r="D125">
        <v>185.03040390393028</v>
      </c>
      <c r="E125">
        <v>187.78</v>
      </c>
      <c r="F125">
        <v>185.03</v>
      </c>
      <c r="G125">
        <v>347731.15218750003</v>
      </c>
      <c r="H125">
        <v>254161.1199999995</v>
      </c>
      <c r="I125">
        <v>237704.27000000011</v>
      </c>
      <c r="J125">
        <v>-110026.88218749993</v>
      </c>
      <c r="K125">
        <v>-93570.032187500532</v>
      </c>
      <c r="L125" t="s">
        <v>48</v>
      </c>
      <c r="M125">
        <v>8760</v>
      </c>
      <c r="N125">
        <v>305</v>
      </c>
      <c r="O125" t="s">
        <v>49</v>
      </c>
      <c r="P125" t="s">
        <v>50</v>
      </c>
      <c r="Q125" t="s">
        <v>51</v>
      </c>
      <c r="R125" t="s">
        <v>51</v>
      </c>
      <c r="T125" t="s">
        <v>48</v>
      </c>
      <c r="U125">
        <v>8760</v>
      </c>
      <c r="V125">
        <v>2</v>
      </c>
      <c r="W125">
        <v>0.99314990639686584</v>
      </c>
      <c r="X125">
        <v>0.99314523468784821</v>
      </c>
      <c r="Y125">
        <v>0.98862385749816895</v>
      </c>
      <c r="Z125">
        <v>0.99767595529556274</v>
      </c>
      <c r="AA125">
        <f t="shared" si="2"/>
        <v>-0.31641364742659683</v>
      </c>
      <c r="AB125">
        <f t="shared" si="3"/>
        <v>-0.26908728653982272</v>
      </c>
    </row>
    <row r="126" spans="1:28" x14ac:dyDescent="0.3">
      <c r="A126" t="s">
        <v>3</v>
      </c>
      <c r="B126" t="s">
        <v>175</v>
      </c>
      <c r="C126" t="s">
        <v>47</v>
      </c>
      <c r="D126">
        <v>186.27467386796042</v>
      </c>
      <c r="E126">
        <v>187.89</v>
      </c>
      <c r="F126">
        <v>186.27</v>
      </c>
      <c r="G126">
        <v>291271.75756250002</v>
      </c>
      <c r="H126">
        <v>301637.5399999987</v>
      </c>
      <c r="I126">
        <v>299503.22000000108</v>
      </c>
      <c r="J126">
        <v>8231.4624375010608</v>
      </c>
      <c r="K126">
        <v>10365.782437498681</v>
      </c>
      <c r="L126" t="s">
        <v>48</v>
      </c>
      <c r="M126">
        <v>8760</v>
      </c>
      <c r="N126">
        <v>306</v>
      </c>
      <c r="O126" t="s">
        <v>49</v>
      </c>
      <c r="P126" t="s">
        <v>50</v>
      </c>
      <c r="Q126" t="s">
        <v>51</v>
      </c>
      <c r="R126" t="s">
        <v>51</v>
      </c>
      <c r="T126" t="s">
        <v>48</v>
      </c>
      <c r="U126">
        <v>8760</v>
      </c>
      <c r="V126">
        <v>2</v>
      </c>
      <c r="W126">
        <v>0.99682721495628357</v>
      </c>
      <c r="X126">
        <v>0.9968266545886264</v>
      </c>
      <c r="Y126">
        <v>0.99383258819580078</v>
      </c>
      <c r="Z126">
        <v>0.99982184171676636</v>
      </c>
      <c r="AA126">
        <f t="shared" si="2"/>
        <v>2.82604208055935E-2</v>
      </c>
      <c r="AB126">
        <f t="shared" si="3"/>
        <v>3.5588010743796299E-2</v>
      </c>
    </row>
    <row r="127" spans="1:28" x14ac:dyDescent="0.3">
      <c r="A127" t="s">
        <v>3</v>
      </c>
      <c r="B127" t="s">
        <v>176</v>
      </c>
      <c r="C127" t="s">
        <v>47</v>
      </c>
      <c r="D127">
        <v>117.5404949879979</v>
      </c>
      <c r="E127">
        <v>121.3</v>
      </c>
      <c r="F127">
        <v>117.54</v>
      </c>
      <c r="G127">
        <v>206681.28246875</v>
      </c>
      <c r="H127">
        <v>191937.83000000025</v>
      </c>
      <c r="I127">
        <v>188505.21000000011</v>
      </c>
      <c r="J127">
        <v>-18176.072468749888</v>
      </c>
      <c r="K127">
        <v>-14743.452468749747</v>
      </c>
      <c r="L127" t="s">
        <v>48</v>
      </c>
      <c r="M127">
        <v>8760</v>
      </c>
      <c r="N127">
        <v>194</v>
      </c>
      <c r="O127" t="s">
        <v>49</v>
      </c>
      <c r="P127" t="s">
        <v>50</v>
      </c>
      <c r="Q127" t="s">
        <v>51</v>
      </c>
      <c r="R127" t="s">
        <v>51</v>
      </c>
      <c r="T127" t="s">
        <v>48</v>
      </c>
      <c r="U127">
        <v>8760</v>
      </c>
      <c r="V127">
        <v>2</v>
      </c>
      <c r="W127">
        <v>0.99192792177200317</v>
      </c>
      <c r="X127">
        <v>0.99193346020267359</v>
      </c>
      <c r="Y127">
        <v>0.98760336637496948</v>
      </c>
      <c r="Z127">
        <v>0.99625247716903687</v>
      </c>
      <c r="AA127">
        <f t="shared" si="2"/>
        <v>-8.7942518314391108E-2</v>
      </c>
      <c r="AB127">
        <f t="shared" si="3"/>
        <v>-7.1334241265795045E-2</v>
      </c>
    </row>
    <row r="128" spans="1:28" x14ac:dyDescent="0.3">
      <c r="A128" t="s">
        <v>3</v>
      </c>
      <c r="B128" t="s">
        <v>177</v>
      </c>
      <c r="C128" t="s">
        <v>47</v>
      </c>
      <c r="D128">
        <v>177.91641275282072</v>
      </c>
      <c r="E128">
        <v>180.88</v>
      </c>
      <c r="F128">
        <v>177.9</v>
      </c>
      <c r="G128">
        <v>316477.31087500002</v>
      </c>
      <c r="H128">
        <v>286765.74000000081</v>
      </c>
      <c r="I128">
        <v>282881.61999999965</v>
      </c>
      <c r="J128">
        <v>-33595.690875000379</v>
      </c>
      <c r="K128">
        <v>-29711.570874999219</v>
      </c>
      <c r="L128" t="s">
        <v>48</v>
      </c>
      <c r="M128">
        <v>8760</v>
      </c>
      <c r="N128">
        <v>293</v>
      </c>
      <c r="O128" t="s">
        <v>49</v>
      </c>
      <c r="P128" t="s">
        <v>50</v>
      </c>
      <c r="Q128" t="s">
        <v>51</v>
      </c>
      <c r="R128" t="s">
        <v>51</v>
      </c>
      <c r="T128" t="s">
        <v>48</v>
      </c>
      <c r="U128">
        <v>8760</v>
      </c>
      <c r="V128">
        <v>2</v>
      </c>
      <c r="W128">
        <v>0.99544736742973328</v>
      </c>
      <c r="X128">
        <v>0.99544609957627528</v>
      </c>
      <c r="Y128">
        <v>0.99308323860168457</v>
      </c>
      <c r="Z128">
        <v>0.99781149625778198</v>
      </c>
      <c r="AA128">
        <f t="shared" si="2"/>
        <v>-0.1061551325183933</v>
      </c>
      <c r="AB128">
        <f t="shared" si="3"/>
        <v>-9.3882151592012505E-2</v>
      </c>
    </row>
    <row r="129" spans="1:28" x14ac:dyDescent="0.3">
      <c r="A129" t="s">
        <v>3</v>
      </c>
      <c r="B129" t="s">
        <v>178</v>
      </c>
      <c r="C129" t="s">
        <v>47</v>
      </c>
      <c r="D129">
        <v>172.53865879125939</v>
      </c>
      <c r="E129">
        <v>176.47</v>
      </c>
      <c r="F129">
        <v>172.54</v>
      </c>
      <c r="G129">
        <v>322654.29268750001</v>
      </c>
      <c r="H129">
        <v>278656.23000000021</v>
      </c>
      <c r="I129">
        <v>275289.01000000024</v>
      </c>
      <c r="J129">
        <v>-47365.28268749977</v>
      </c>
      <c r="K129">
        <v>-43998.062687499798</v>
      </c>
      <c r="L129" t="s">
        <v>48</v>
      </c>
      <c r="M129">
        <v>8760</v>
      </c>
      <c r="N129">
        <v>285</v>
      </c>
      <c r="O129" t="s">
        <v>49</v>
      </c>
      <c r="P129" t="s">
        <v>50</v>
      </c>
      <c r="Q129" t="s">
        <v>51</v>
      </c>
      <c r="R129" t="s">
        <v>51</v>
      </c>
      <c r="T129" t="s">
        <v>48</v>
      </c>
      <c r="U129">
        <v>8760</v>
      </c>
      <c r="V129">
        <v>2</v>
      </c>
      <c r="W129">
        <v>0.98677828907966614</v>
      </c>
      <c r="X129">
        <v>0.9867782330980972</v>
      </c>
      <c r="Y129">
        <v>0.98674428462982178</v>
      </c>
      <c r="Z129">
        <v>0.9868122935295105</v>
      </c>
      <c r="AA129">
        <f t="shared" si="2"/>
        <v>-0.14679886107504669</v>
      </c>
      <c r="AB129">
        <f t="shared" si="3"/>
        <v>-0.13636286169021528</v>
      </c>
    </row>
    <row r="130" spans="1:28" x14ac:dyDescent="0.3">
      <c r="A130" t="s">
        <v>3</v>
      </c>
      <c r="B130" t="s">
        <v>179</v>
      </c>
      <c r="C130" t="s">
        <v>47</v>
      </c>
      <c r="D130">
        <v>180.95012060846994</v>
      </c>
      <c r="E130">
        <v>183.61</v>
      </c>
      <c r="F130">
        <v>180.95</v>
      </c>
      <c r="G130">
        <v>299006.33043750003</v>
      </c>
      <c r="H130">
        <v>292076.16000000003</v>
      </c>
      <c r="I130">
        <v>296076.77000000037</v>
      </c>
      <c r="J130">
        <v>-2929.5604374996619</v>
      </c>
      <c r="K130">
        <v>-6930.1704374999972</v>
      </c>
      <c r="L130" t="s">
        <v>48</v>
      </c>
      <c r="M130">
        <v>8760</v>
      </c>
      <c r="N130">
        <v>300</v>
      </c>
      <c r="O130" t="s">
        <v>49</v>
      </c>
      <c r="P130" t="s">
        <v>50</v>
      </c>
      <c r="Q130" t="s">
        <v>51</v>
      </c>
      <c r="R130" t="s">
        <v>51</v>
      </c>
      <c r="T130" t="s">
        <v>48</v>
      </c>
      <c r="U130">
        <v>8760</v>
      </c>
      <c r="V130">
        <v>2</v>
      </c>
      <c r="W130">
        <v>0.99841961264610291</v>
      </c>
      <c r="X130">
        <v>0.99841939218539855</v>
      </c>
      <c r="Y130">
        <v>0.99731343984603882</v>
      </c>
      <c r="Z130">
        <v>0.99952578544616699</v>
      </c>
      <c r="AA130">
        <f t="shared" ref="AA130:AA193" si="4">(I130-G130)/G130</f>
        <v>-9.7976535587497027E-3</v>
      </c>
      <c r="AB130">
        <f t="shared" ref="AB130:AB193" si="5">(H130-G130)/G130</f>
        <v>-2.3177336838855256E-2</v>
      </c>
    </row>
    <row r="131" spans="1:28" x14ac:dyDescent="0.3">
      <c r="A131" t="s">
        <v>3</v>
      </c>
      <c r="B131" t="s">
        <v>180</v>
      </c>
      <c r="C131" t="s">
        <v>47</v>
      </c>
      <c r="D131">
        <v>136.69953952973822</v>
      </c>
      <c r="E131">
        <v>143.36000000000001</v>
      </c>
      <c r="F131">
        <v>137.09</v>
      </c>
      <c r="G131">
        <v>293293.66889062501</v>
      </c>
      <c r="H131">
        <v>228821.29000000015</v>
      </c>
      <c r="I131">
        <v>220761.80999999942</v>
      </c>
      <c r="J131">
        <v>-72531.85889062559</v>
      </c>
      <c r="K131">
        <v>-64472.378890624852</v>
      </c>
      <c r="L131" t="s">
        <v>48</v>
      </c>
      <c r="M131">
        <v>8760</v>
      </c>
      <c r="N131">
        <v>225</v>
      </c>
      <c r="O131" t="s">
        <v>49</v>
      </c>
      <c r="P131" t="s">
        <v>50</v>
      </c>
      <c r="Q131" t="s">
        <v>51</v>
      </c>
      <c r="R131" t="s">
        <v>51</v>
      </c>
      <c r="T131" t="s">
        <v>48</v>
      </c>
      <c r="U131">
        <v>8760</v>
      </c>
      <c r="V131">
        <v>2</v>
      </c>
      <c r="W131">
        <v>0.99216243624687195</v>
      </c>
      <c r="X131">
        <v>0.99216291824241276</v>
      </c>
      <c r="Y131">
        <v>0.98800617456436157</v>
      </c>
      <c r="Z131">
        <v>0.99631869792938232</v>
      </c>
      <c r="AA131">
        <f t="shared" si="4"/>
        <v>-0.24730114074734477</v>
      </c>
      <c r="AB131">
        <f t="shared" si="5"/>
        <v>-0.21982192501628078</v>
      </c>
    </row>
    <row r="132" spans="1:28" x14ac:dyDescent="0.3">
      <c r="A132" t="s">
        <v>3</v>
      </c>
      <c r="B132" t="s">
        <v>181</v>
      </c>
      <c r="C132" t="s">
        <v>47</v>
      </c>
      <c r="D132">
        <v>177.44237750926212</v>
      </c>
      <c r="E132">
        <v>180.31</v>
      </c>
      <c r="F132">
        <v>177.45</v>
      </c>
      <c r="G132">
        <v>325524.83635937498</v>
      </c>
      <c r="H132">
        <v>288664.20000000065</v>
      </c>
      <c r="I132">
        <v>285066.09999999893</v>
      </c>
      <c r="J132">
        <v>-40458.736359376053</v>
      </c>
      <c r="K132">
        <v>-36860.63635937433</v>
      </c>
      <c r="L132" t="s">
        <v>48</v>
      </c>
      <c r="M132">
        <v>8760</v>
      </c>
      <c r="N132">
        <v>292</v>
      </c>
      <c r="O132" t="s">
        <v>49</v>
      </c>
      <c r="P132" t="s">
        <v>50</v>
      </c>
      <c r="Q132" t="s">
        <v>51</v>
      </c>
      <c r="R132" t="s">
        <v>51</v>
      </c>
      <c r="T132" t="s">
        <v>48</v>
      </c>
      <c r="U132">
        <v>8760</v>
      </c>
      <c r="V132">
        <v>2</v>
      </c>
      <c r="W132">
        <v>0.99662509560585022</v>
      </c>
      <c r="X132">
        <v>0.99662417060441277</v>
      </c>
      <c r="Y132">
        <v>0.99465703964233398</v>
      </c>
      <c r="Z132">
        <v>0.99859315156936646</v>
      </c>
      <c r="AA132">
        <f t="shared" si="4"/>
        <v>-0.12428770969324798</v>
      </c>
      <c r="AB132">
        <f t="shared" si="5"/>
        <v>-0.11323448241805024</v>
      </c>
    </row>
    <row r="133" spans="1:28" x14ac:dyDescent="0.3">
      <c r="A133" t="s">
        <v>3</v>
      </c>
      <c r="B133" t="s">
        <v>182</v>
      </c>
      <c r="C133" t="s">
        <v>47</v>
      </c>
      <c r="D133">
        <v>180.2927807072308</v>
      </c>
      <c r="E133">
        <v>183.73</v>
      </c>
      <c r="F133">
        <v>180.29</v>
      </c>
      <c r="G133">
        <v>315260.88571875001</v>
      </c>
      <c r="H133">
        <v>294440.33999999834</v>
      </c>
      <c r="I133">
        <v>288268.92000000027</v>
      </c>
      <c r="J133">
        <v>-26991.965718749736</v>
      </c>
      <c r="K133">
        <v>-20820.545718751673</v>
      </c>
      <c r="L133" t="s">
        <v>48</v>
      </c>
      <c r="M133">
        <v>8760</v>
      </c>
      <c r="N133">
        <v>298</v>
      </c>
      <c r="O133" t="s">
        <v>49</v>
      </c>
      <c r="P133" t="s">
        <v>50</v>
      </c>
      <c r="Q133" t="s">
        <v>51</v>
      </c>
      <c r="R133" t="s">
        <v>51</v>
      </c>
      <c r="T133" t="s">
        <v>48</v>
      </c>
      <c r="U133">
        <v>8760</v>
      </c>
      <c r="V133">
        <v>2</v>
      </c>
      <c r="W133">
        <v>0.99776962399482727</v>
      </c>
      <c r="X133">
        <v>0.997770408235091</v>
      </c>
      <c r="Y133">
        <v>0.99693119525909424</v>
      </c>
      <c r="Z133">
        <v>0.9986080527305603</v>
      </c>
      <c r="AA133">
        <f t="shared" si="4"/>
        <v>-8.5617870600128182E-2</v>
      </c>
      <c r="AB133">
        <f t="shared" si="5"/>
        <v>-6.6042273754588321E-2</v>
      </c>
    </row>
    <row r="134" spans="1:28" x14ac:dyDescent="0.3">
      <c r="A134" t="s">
        <v>3</v>
      </c>
      <c r="B134" t="s">
        <v>183</v>
      </c>
      <c r="C134" t="s">
        <v>47</v>
      </c>
      <c r="D134">
        <v>177.16366769373008</v>
      </c>
      <c r="E134">
        <v>178.87</v>
      </c>
      <c r="F134">
        <v>177.16</v>
      </c>
      <c r="G134">
        <v>272393.689078125</v>
      </c>
      <c r="H134">
        <v>287439.17000000027</v>
      </c>
      <c r="I134">
        <v>282730.07000000024</v>
      </c>
      <c r="J134">
        <v>10336.380921875243</v>
      </c>
      <c r="K134">
        <v>15045.480921875278</v>
      </c>
      <c r="L134" t="s">
        <v>48</v>
      </c>
      <c r="M134">
        <v>8760</v>
      </c>
      <c r="N134">
        <v>291</v>
      </c>
      <c r="O134" t="s">
        <v>49</v>
      </c>
      <c r="P134" t="s">
        <v>50</v>
      </c>
      <c r="Q134" t="s">
        <v>51</v>
      </c>
      <c r="R134" t="s">
        <v>51</v>
      </c>
      <c r="T134" t="s">
        <v>48</v>
      </c>
      <c r="U134">
        <v>8760</v>
      </c>
      <c r="V134">
        <v>2</v>
      </c>
      <c r="W134">
        <v>0.99302220344543457</v>
      </c>
      <c r="X134">
        <v>0.99301765584925783</v>
      </c>
      <c r="Y134">
        <v>0.98636555671691895</v>
      </c>
      <c r="Z134">
        <v>0.9996788501739502</v>
      </c>
      <c r="AA134">
        <f t="shared" si="4"/>
        <v>3.7946477236154595E-2</v>
      </c>
      <c r="AB134">
        <f t="shared" si="5"/>
        <v>5.5234322692256269E-2</v>
      </c>
    </row>
    <row r="135" spans="1:28" x14ac:dyDescent="0.3">
      <c r="A135" t="s">
        <v>3</v>
      </c>
      <c r="B135" t="s">
        <v>184</v>
      </c>
      <c r="C135" t="s">
        <v>47</v>
      </c>
      <c r="D135">
        <v>142.77089203090168</v>
      </c>
      <c r="E135">
        <v>145.44</v>
      </c>
      <c r="F135">
        <v>142.77000000000001</v>
      </c>
      <c r="G135">
        <v>215571.84062500001</v>
      </c>
      <c r="H135">
        <v>231340.6599999991</v>
      </c>
      <c r="I135">
        <v>230010.43999999959</v>
      </c>
      <c r="J135">
        <v>14438.599374999583</v>
      </c>
      <c r="K135">
        <v>15768.81937499909</v>
      </c>
      <c r="L135" t="s">
        <v>48</v>
      </c>
      <c r="M135">
        <v>8760</v>
      </c>
      <c r="N135">
        <v>237</v>
      </c>
      <c r="O135" t="s">
        <v>49</v>
      </c>
      <c r="P135" t="s">
        <v>50</v>
      </c>
      <c r="Q135" t="s">
        <v>51</v>
      </c>
      <c r="R135" t="s">
        <v>51</v>
      </c>
      <c r="T135" t="s">
        <v>48</v>
      </c>
      <c r="U135">
        <v>8760</v>
      </c>
      <c r="V135">
        <v>2</v>
      </c>
      <c r="W135">
        <v>0.98718938231468201</v>
      </c>
      <c r="X135">
        <v>0.98719873648071743</v>
      </c>
      <c r="Y135">
        <v>0.97731494903564453</v>
      </c>
      <c r="Z135">
        <v>0.99706381559371948</v>
      </c>
      <c r="AA135">
        <f t="shared" si="4"/>
        <v>6.6978132826338771E-2</v>
      </c>
      <c r="AB135">
        <f t="shared" si="5"/>
        <v>7.3148790348874393E-2</v>
      </c>
    </row>
    <row r="136" spans="1:28" x14ac:dyDescent="0.3">
      <c r="A136" t="s">
        <v>3</v>
      </c>
      <c r="B136" t="s">
        <v>185</v>
      </c>
      <c r="C136" t="s">
        <v>47</v>
      </c>
      <c r="D136">
        <v>150.53566437004977</v>
      </c>
      <c r="E136">
        <v>153.13999999999999</v>
      </c>
      <c r="F136">
        <v>150.54</v>
      </c>
      <c r="G136">
        <v>239983.78701562501</v>
      </c>
      <c r="H136">
        <v>242988.1100000001</v>
      </c>
      <c r="I136">
        <v>242582.33000000039</v>
      </c>
      <c r="J136">
        <v>2598.5429843753809</v>
      </c>
      <c r="K136">
        <v>3004.3229843750887</v>
      </c>
      <c r="L136" t="s">
        <v>48</v>
      </c>
      <c r="M136">
        <v>8760</v>
      </c>
      <c r="N136">
        <v>247</v>
      </c>
      <c r="O136" t="s">
        <v>49</v>
      </c>
      <c r="P136" t="s">
        <v>50</v>
      </c>
      <c r="Q136" t="s">
        <v>51</v>
      </c>
      <c r="R136" t="s">
        <v>51</v>
      </c>
      <c r="T136" t="s">
        <v>48</v>
      </c>
      <c r="U136">
        <v>8760</v>
      </c>
      <c r="V136">
        <v>2</v>
      </c>
      <c r="W136">
        <v>0.99825099110603333</v>
      </c>
      <c r="X136">
        <v>0.9982517045946373</v>
      </c>
      <c r="Y136">
        <v>0.99770975112915039</v>
      </c>
      <c r="Z136">
        <v>0.99879223108291626</v>
      </c>
      <c r="AA136">
        <f t="shared" si="4"/>
        <v>1.0827993910297755E-2</v>
      </c>
      <c r="AB136">
        <f t="shared" si="5"/>
        <v>1.2518858135110108E-2</v>
      </c>
    </row>
    <row r="137" spans="1:28" x14ac:dyDescent="0.3">
      <c r="A137" t="s">
        <v>3</v>
      </c>
      <c r="B137" t="s">
        <v>186</v>
      </c>
      <c r="C137" t="s">
        <v>47</v>
      </c>
      <c r="D137">
        <v>136.52810567479241</v>
      </c>
      <c r="E137">
        <v>138.12</v>
      </c>
      <c r="F137">
        <v>136.47999999999999</v>
      </c>
      <c r="G137">
        <v>221363.79656250001</v>
      </c>
      <c r="H137">
        <v>222411.33000000013</v>
      </c>
      <c r="I137">
        <v>219464.04999999929</v>
      </c>
      <c r="J137">
        <v>-1899.7465625007171</v>
      </c>
      <c r="K137">
        <v>1047.5334375001257</v>
      </c>
      <c r="L137" t="s">
        <v>48</v>
      </c>
      <c r="M137">
        <v>8760</v>
      </c>
      <c r="N137">
        <v>224</v>
      </c>
      <c r="O137" t="s">
        <v>49</v>
      </c>
      <c r="P137" t="s">
        <v>50</v>
      </c>
      <c r="Q137" t="s">
        <v>51</v>
      </c>
      <c r="R137" t="s">
        <v>51</v>
      </c>
      <c r="T137" t="s">
        <v>48</v>
      </c>
      <c r="U137">
        <v>8760</v>
      </c>
      <c r="V137">
        <v>2</v>
      </c>
      <c r="W137">
        <v>0.99750292301177979</v>
      </c>
      <c r="X137">
        <v>0.99750321143683129</v>
      </c>
      <c r="Y137">
        <v>0.99683785438537598</v>
      </c>
      <c r="Z137">
        <v>0.99816799163818359</v>
      </c>
      <c r="AA137">
        <f t="shared" si="4"/>
        <v>-8.5820111147413454E-3</v>
      </c>
      <c r="AB137">
        <f t="shared" si="5"/>
        <v>4.7321804819351497E-3</v>
      </c>
    </row>
    <row r="138" spans="1:28" x14ac:dyDescent="0.3">
      <c r="A138" t="s">
        <v>3</v>
      </c>
      <c r="B138" t="s">
        <v>187</v>
      </c>
      <c r="C138" t="s">
        <v>47</v>
      </c>
      <c r="D138">
        <v>173.11609334273481</v>
      </c>
      <c r="E138">
        <v>175.85</v>
      </c>
      <c r="F138">
        <v>173.12</v>
      </c>
      <c r="G138">
        <v>322870.45231249998</v>
      </c>
      <c r="H138">
        <v>281603.18999999965</v>
      </c>
      <c r="I138">
        <v>277593.60000000056</v>
      </c>
      <c r="J138">
        <v>-45276.852312499424</v>
      </c>
      <c r="K138">
        <v>-41267.26231250033</v>
      </c>
      <c r="L138" t="s">
        <v>48</v>
      </c>
      <c r="M138">
        <v>8760</v>
      </c>
      <c r="N138">
        <v>286</v>
      </c>
      <c r="O138" t="s">
        <v>49</v>
      </c>
      <c r="P138" t="s">
        <v>50</v>
      </c>
      <c r="Q138" t="s">
        <v>51</v>
      </c>
      <c r="R138" t="s">
        <v>51</v>
      </c>
      <c r="T138" t="s">
        <v>48</v>
      </c>
      <c r="U138">
        <v>8760</v>
      </c>
      <c r="V138">
        <v>2</v>
      </c>
      <c r="W138">
        <v>0.99075591564178467</v>
      </c>
      <c r="X138">
        <v>0.99076771025333554</v>
      </c>
      <c r="Y138">
        <v>0.98234367370605469</v>
      </c>
      <c r="Z138">
        <v>0.99916815757751465</v>
      </c>
      <c r="AA138">
        <f t="shared" si="4"/>
        <v>-0.14023225720474677</v>
      </c>
      <c r="AB138">
        <f t="shared" si="5"/>
        <v>-0.12781368507688204</v>
      </c>
    </row>
    <row r="139" spans="1:28" x14ac:dyDescent="0.3">
      <c r="A139" t="s">
        <v>3</v>
      </c>
      <c r="B139" t="s">
        <v>188</v>
      </c>
      <c r="C139" t="s">
        <v>47</v>
      </c>
      <c r="D139">
        <v>172.97653110219045</v>
      </c>
      <c r="E139">
        <v>175.2</v>
      </c>
      <c r="F139">
        <v>172.98</v>
      </c>
      <c r="G139">
        <v>332602.18475000001</v>
      </c>
      <c r="H139">
        <v>280816.25000000035</v>
      </c>
      <c r="I139">
        <v>276593.25000000006</v>
      </c>
      <c r="J139">
        <v>-56008.934749999957</v>
      </c>
      <c r="K139">
        <v>-51785.934749999666</v>
      </c>
      <c r="L139" t="s">
        <v>48</v>
      </c>
      <c r="M139">
        <v>8760</v>
      </c>
      <c r="N139">
        <v>284</v>
      </c>
      <c r="O139" t="s">
        <v>49</v>
      </c>
      <c r="P139" t="s">
        <v>50</v>
      </c>
      <c r="Q139" t="s">
        <v>51</v>
      </c>
      <c r="R139" t="s">
        <v>51</v>
      </c>
      <c r="T139" t="s">
        <v>48</v>
      </c>
      <c r="U139">
        <v>8760</v>
      </c>
      <c r="V139">
        <v>2</v>
      </c>
      <c r="W139">
        <v>0.99482280015945435</v>
      </c>
      <c r="X139">
        <v>0.99482419143086509</v>
      </c>
      <c r="Y139">
        <v>0.99343055486679077</v>
      </c>
      <c r="Z139">
        <v>0.99621504545211792</v>
      </c>
      <c r="AA139">
        <f t="shared" si="4"/>
        <v>-0.16839617211804847</v>
      </c>
      <c r="AB139">
        <f t="shared" si="5"/>
        <v>-0.15569932226670277</v>
      </c>
    </row>
    <row r="140" spans="1:28" x14ac:dyDescent="0.3">
      <c r="A140" t="s">
        <v>3</v>
      </c>
      <c r="B140" t="s">
        <v>189</v>
      </c>
      <c r="C140" t="s">
        <v>47</v>
      </c>
      <c r="D140">
        <v>176.79396282302014</v>
      </c>
      <c r="E140">
        <v>178.42</v>
      </c>
      <c r="F140">
        <v>176.79</v>
      </c>
      <c r="G140">
        <v>285590.18151562498</v>
      </c>
      <c r="H140">
        <v>282494.34000000078</v>
      </c>
      <c r="I140">
        <v>284682.37000000064</v>
      </c>
      <c r="J140">
        <v>-907.81151562434388</v>
      </c>
      <c r="K140">
        <v>-3095.8415156241972</v>
      </c>
      <c r="L140" t="s">
        <v>48</v>
      </c>
      <c r="M140">
        <v>8760</v>
      </c>
      <c r="N140">
        <v>290</v>
      </c>
      <c r="O140" t="s">
        <v>49</v>
      </c>
      <c r="P140" t="s">
        <v>50</v>
      </c>
      <c r="Q140" t="s">
        <v>51</v>
      </c>
      <c r="R140" t="s">
        <v>51</v>
      </c>
      <c r="T140" t="s">
        <v>48</v>
      </c>
      <c r="U140">
        <v>8760</v>
      </c>
      <c r="V140">
        <v>2</v>
      </c>
      <c r="W140">
        <v>0.99565824866294861</v>
      </c>
      <c r="X140">
        <v>0.99565741779282635</v>
      </c>
      <c r="Y140">
        <v>0.99307316541671753</v>
      </c>
      <c r="Z140">
        <v>0.99824333190917969</v>
      </c>
      <c r="AA140">
        <f t="shared" si="4"/>
        <v>-3.178721028876395E-3</v>
      </c>
      <c r="AB140">
        <f t="shared" si="5"/>
        <v>-1.0840153884824013E-2</v>
      </c>
    </row>
    <row r="141" spans="1:28" x14ac:dyDescent="0.3">
      <c r="A141" t="s">
        <v>3</v>
      </c>
      <c r="B141" t="s">
        <v>190</v>
      </c>
      <c r="C141" t="s">
        <v>47</v>
      </c>
      <c r="D141">
        <v>90.669190221012798</v>
      </c>
      <c r="E141">
        <v>92.52</v>
      </c>
      <c r="F141">
        <v>90.67</v>
      </c>
      <c r="G141">
        <v>140316.55540625</v>
      </c>
      <c r="H141">
        <v>149528.6100000001</v>
      </c>
      <c r="I141">
        <v>146302.83999999962</v>
      </c>
      <c r="J141">
        <v>5986.2845937496168</v>
      </c>
      <c r="K141">
        <v>9212.054593750101</v>
      </c>
      <c r="L141" t="s">
        <v>48</v>
      </c>
      <c r="M141">
        <v>8760</v>
      </c>
      <c r="N141">
        <v>149</v>
      </c>
      <c r="O141" t="s">
        <v>49</v>
      </c>
      <c r="P141" t="s">
        <v>50</v>
      </c>
      <c r="Q141" t="s">
        <v>51</v>
      </c>
      <c r="R141" t="s">
        <v>51</v>
      </c>
      <c r="T141" t="s">
        <v>48</v>
      </c>
      <c r="U141">
        <v>8760</v>
      </c>
      <c r="V141">
        <v>2</v>
      </c>
      <c r="W141">
        <v>0.99792760610580444</v>
      </c>
      <c r="X141">
        <v>0.99792709320849859</v>
      </c>
      <c r="Y141">
        <v>0.99637573957443237</v>
      </c>
      <c r="Z141">
        <v>0.99947947263717651</v>
      </c>
      <c r="AA141">
        <f t="shared" si="4"/>
        <v>4.2662710586201968E-2</v>
      </c>
      <c r="AB141">
        <f t="shared" si="5"/>
        <v>6.5651943686039035E-2</v>
      </c>
    </row>
    <row r="142" spans="1:28" x14ac:dyDescent="0.3">
      <c r="A142" t="s">
        <v>3</v>
      </c>
      <c r="B142" t="s">
        <v>191</v>
      </c>
      <c r="C142" t="s">
        <v>47</v>
      </c>
      <c r="D142">
        <v>185.99539035435222</v>
      </c>
      <c r="E142">
        <v>187.85</v>
      </c>
      <c r="F142">
        <v>185.94</v>
      </c>
      <c r="G142">
        <v>311076.7354375</v>
      </c>
      <c r="H142">
        <v>302900.57000000053</v>
      </c>
      <c r="I142">
        <v>299813.48000000051</v>
      </c>
      <c r="J142">
        <v>-11263.255437499494</v>
      </c>
      <c r="K142">
        <v>-8176.1654374994687</v>
      </c>
      <c r="L142" t="s">
        <v>48</v>
      </c>
      <c r="M142">
        <v>8760</v>
      </c>
      <c r="N142">
        <v>307</v>
      </c>
      <c r="O142" t="s">
        <v>49</v>
      </c>
      <c r="P142" t="s">
        <v>50</v>
      </c>
      <c r="Q142" t="s">
        <v>51</v>
      </c>
      <c r="R142" t="s">
        <v>51</v>
      </c>
      <c r="T142" t="s">
        <v>48</v>
      </c>
      <c r="U142">
        <v>8760</v>
      </c>
      <c r="V142">
        <v>2</v>
      </c>
      <c r="W142">
        <v>0.99637717008590698</v>
      </c>
      <c r="X142">
        <v>0.99637652632097207</v>
      </c>
      <c r="Y142">
        <v>0.9952961802482605</v>
      </c>
      <c r="Z142">
        <v>0.99745815992355347</v>
      </c>
      <c r="AA142">
        <f t="shared" si="4"/>
        <v>-3.6207321713270492E-2</v>
      </c>
      <c r="AB142">
        <f t="shared" si="5"/>
        <v>-2.6283435905293483E-2</v>
      </c>
    </row>
    <row r="143" spans="1:28" x14ac:dyDescent="0.3">
      <c r="A143" t="s">
        <v>3</v>
      </c>
      <c r="B143" t="s">
        <v>192</v>
      </c>
      <c r="C143" t="s">
        <v>47</v>
      </c>
      <c r="D143">
        <v>182.25005826246621</v>
      </c>
      <c r="E143">
        <v>189.22</v>
      </c>
      <c r="F143">
        <v>163.9</v>
      </c>
      <c r="G143">
        <v>305791.46992187499</v>
      </c>
      <c r="H143">
        <v>295950.96000000014</v>
      </c>
      <c r="I143">
        <v>264632.75000000052</v>
      </c>
      <c r="J143">
        <v>-41158.719921874464</v>
      </c>
      <c r="K143">
        <v>-9840.509921874851</v>
      </c>
      <c r="L143" t="s">
        <v>48</v>
      </c>
      <c r="M143">
        <v>8760</v>
      </c>
      <c r="N143">
        <v>301</v>
      </c>
      <c r="O143" t="s">
        <v>49</v>
      </c>
      <c r="P143" t="s">
        <v>50</v>
      </c>
      <c r="Q143" t="s">
        <v>51</v>
      </c>
      <c r="R143" t="s">
        <v>51</v>
      </c>
      <c r="T143" t="s">
        <v>48</v>
      </c>
      <c r="U143">
        <v>8760</v>
      </c>
      <c r="V143">
        <v>2</v>
      </c>
      <c r="W143">
        <v>0.99813851714134216</v>
      </c>
      <c r="X143">
        <v>0.99813929199204865</v>
      </c>
      <c r="Y143">
        <v>0.99684464931488037</v>
      </c>
      <c r="Z143">
        <v>0.99943238496780396</v>
      </c>
      <c r="AA143">
        <f t="shared" si="4"/>
        <v>-0.13459734482583796</v>
      </c>
      <c r="AB143">
        <f t="shared" si="5"/>
        <v>-3.2180459201131245E-2</v>
      </c>
    </row>
    <row r="144" spans="1:28" x14ac:dyDescent="0.3">
      <c r="A144" t="s">
        <v>3</v>
      </c>
      <c r="B144" t="s">
        <v>193</v>
      </c>
      <c r="C144" t="s">
        <v>47</v>
      </c>
      <c r="D144">
        <v>137.66322829736882</v>
      </c>
      <c r="E144">
        <v>137.66</v>
      </c>
      <c r="F144">
        <v>137.66</v>
      </c>
      <c r="G144">
        <v>242378.68171875001</v>
      </c>
      <c r="H144">
        <v>222210.16</v>
      </c>
      <c r="I144">
        <v>222098.86000000054</v>
      </c>
      <c r="J144">
        <v>-20279.821718749474</v>
      </c>
      <c r="K144">
        <v>-20168.521718750009</v>
      </c>
      <c r="L144" t="s">
        <v>48</v>
      </c>
      <c r="M144">
        <v>8760</v>
      </c>
      <c r="N144">
        <v>228</v>
      </c>
      <c r="O144" t="s">
        <v>49</v>
      </c>
      <c r="P144" t="s">
        <v>50</v>
      </c>
      <c r="Q144" t="s">
        <v>51</v>
      </c>
      <c r="R144" t="s">
        <v>51</v>
      </c>
      <c r="T144" t="s">
        <v>48</v>
      </c>
      <c r="U144">
        <v>8760</v>
      </c>
      <c r="AA144">
        <f t="shared" si="4"/>
        <v>-8.366998935278333E-2</v>
      </c>
      <c r="AB144">
        <f t="shared" si="5"/>
        <v>-8.3210790551922556E-2</v>
      </c>
    </row>
    <row r="145" spans="1:28" x14ac:dyDescent="0.3">
      <c r="A145" t="s">
        <v>3</v>
      </c>
      <c r="B145" t="s">
        <v>194</v>
      </c>
      <c r="C145" t="s">
        <v>47</v>
      </c>
      <c r="D145">
        <v>260.2555420115263</v>
      </c>
      <c r="E145">
        <v>265.77999999999997</v>
      </c>
      <c r="F145">
        <v>260.26</v>
      </c>
      <c r="G145">
        <v>500135.62067187502</v>
      </c>
      <c r="H145">
        <v>426425.85000000068</v>
      </c>
      <c r="I145">
        <v>419594.80999999942</v>
      </c>
      <c r="J145">
        <v>-80540.810671875603</v>
      </c>
      <c r="K145">
        <v>-73709.770671874343</v>
      </c>
      <c r="L145" t="s">
        <v>48</v>
      </c>
      <c r="M145">
        <v>8760</v>
      </c>
      <c r="N145">
        <v>430</v>
      </c>
      <c r="O145" t="s">
        <v>49</v>
      </c>
      <c r="P145" t="s">
        <v>50</v>
      </c>
      <c r="Q145" t="s">
        <v>51</v>
      </c>
      <c r="R145" t="s">
        <v>51</v>
      </c>
      <c r="T145" t="s">
        <v>48</v>
      </c>
      <c r="U145">
        <v>8760</v>
      </c>
      <c r="V145">
        <v>2</v>
      </c>
      <c r="W145">
        <v>0.99960446357727051</v>
      </c>
      <c r="X145">
        <v>0.99960410405382394</v>
      </c>
      <c r="Y145">
        <v>0.99944287538528442</v>
      </c>
      <c r="Z145">
        <v>0.99976605176925659</v>
      </c>
      <c r="AA145">
        <f t="shared" si="4"/>
        <v>-0.16103794119618642</v>
      </c>
      <c r="AB145">
        <f t="shared" si="5"/>
        <v>-0.14737956591224935</v>
      </c>
    </row>
    <row r="146" spans="1:28" x14ac:dyDescent="0.3">
      <c r="A146" t="s">
        <v>3</v>
      </c>
      <c r="B146" t="s">
        <v>195</v>
      </c>
      <c r="C146" t="s">
        <v>47</v>
      </c>
      <c r="D146">
        <v>253.61051516371649</v>
      </c>
      <c r="E146">
        <v>257.05</v>
      </c>
      <c r="F146">
        <v>253.61</v>
      </c>
      <c r="G146">
        <v>518407.81542187498</v>
      </c>
      <c r="H146">
        <v>404371.88000000035</v>
      </c>
      <c r="I146">
        <v>407244.61000000057</v>
      </c>
      <c r="J146">
        <v>-111163.20542187442</v>
      </c>
      <c r="K146">
        <v>-114035.93542187463</v>
      </c>
      <c r="L146" t="s">
        <v>48</v>
      </c>
      <c r="M146">
        <v>8760</v>
      </c>
      <c r="N146">
        <v>420</v>
      </c>
      <c r="O146" t="s">
        <v>49</v>
      </c>
      <c r="P146" t="s">
        <v>50</v>
      </c>
      <c r="Q146" t="s">
        <v>51</v>
      </c>
      <c r="R146" t="s">
        <v>51</v>
      </c>
      <c r="T146" t="s">
        <v>48</v>
      </c>
      <c r="U146">
        <v>8760</v>
      </c>
      <c r="V146">
        <v>2</v>
      </c>
      <c r="W146">
        <v>0.99983453750610352</v>
      </c>
      <c r="X146">
        <v>0.99983465737942345</v>
      </c>
      <c r="Y146">
        <v>0.99967813491821289</v>
      </c>
      <c r="Z146">
        <v>0.99999094009399414</v>
      </c>
      <c r="AA146">
        <f t="shared" si="4"/>
        <v>-0.21443196285806559</v>
      </c>
      <c r="AB146">
        <f t="shared" si="5"/>
        <v>-0.21997341095074607</v>
      </c>
    </row>
    <row r="147" spans="1:28" x14ac:dyDescent="0.3">
      <c r="A147" t="s">
        <v>3</v>
      </c>
      <c r="B147" t="s">
        <v>196</v>
      </c>
      <c r="C147" t="s">
        <v>47</v>
      </c>
      <c r="D147">
        <v>231.3998515584731</v>
      </c>
      <c r="E147">
        <v>237.99</v>
      </c>
      <c r="F147">
        <v>231.4</v>
      </c>
      <c r="G147">
        <v>379772.98478125001</v>
      </c>
      <c r="H147">
        <v>377555.35999999935</v>
      </c>
      <c r="I147">
        <v>372747.82999999862</v>
      </c>
      <c r="J147">
        <v>-7025.1547812513891</v>
      </c>
      <c r="K147">
        <v>-2217.6247812506626</v>
      </c>
      <c r="L147" t="s">
        <v>48</v>
      </c>
      <c r="M147">
        <v>8760</v>
      </c>
      <c r="N147">
        <v>380</v>
      </c>
      <c r="O147" t="s">
        <v>49</v>
      </c>
      <c r="P147" t="s">
        <v>50</v>
      </c>
      <c r="Q147" t="s">
        <v>51</v>
      </c>
      <c r="R147" t="s">
        <v>51</v>
      </c>
      <c r="T147" t="s">
        <v>48</v>
      </c>
      <c r="U147">
        <v>8760</v>
      </c>
      <c r="V147">
        <v>2</v>
      </c>
      <c r="W147">
        <v>0.99949988722801208</v>
      </c>
      <c r="X147">
        <v>0.9994992881898549</v>
      </c>
      <c r="Y147">
        <v>0.99921929836273193</v>
      </c>
      <c r="Z147">
        <v>0.99978047609329224</v>
      </c>
      <c r="AA147">
        <f t="shared" si="4"/>
        <v>-1.8498300465731896E-2</v>
      </c>
      <c r="AB147">
        <f t="shared" si="5"/>
        <v>-5.8393431605674078E-3</v>
      </c>
    </row>
    <row r="148" spans="1:28" x14ac:dyDescent="0.3">
      <c r="A148" t="s">
        <v>3</v>
      </c>
      <c r="B148" t="s">
        <v>197</v>
      </c>
      <c r="C148" t="s">
        <v>47</v>
      </c>
      <c r="D148">
        <v>257.7667583610704</v>
      </c>
      <c r="E148">
        <v>261.14999999999998</v>
      </c>
      <c r="F148">
        <v>257.77</v>
      </c>
      <c r="G148">
        <v>476619.50559374999</v>
      </c>
      <c r="H148">
        <v>406931.98000000027</v>
      </c>
      <c r="I148">
        <v>412099.09000000078</v>
      </c>
      <c r="J148">
        <v>-64520.415593749203</v>
      </c>
      <c r="K148">
        <v>-69687.525593749713</v>
      </c>
      <c r="L148" t="s">
        <v>48</v>
      </c>
      <c r="M148">
        <v>8760</v>
      </c>
      <c r="N148">
        <v>425</v>
      </c>
      <c r="O148" t="s">
        <v>49</v>
      </c>
      <c r="P148" t="s">
        <v>50</v>
      </c>
      <c r="Q148" t="s">
        <v>51</v>
      </c>
      <c r="R148" t="s">
        <v>51</v>
      </c>
      <c r="T148" t="s">
        <v>48</v>
      </c>
      <c r="U148">
        <v>8760</v>
      </c>
      <c r="V148">
        <v>2</v>
      </c>
      <c r="W148">
        <v>0.99681127071380615</v>
      </c>
      <c r="X148">
        <v>0.99681436537529589</v>
      </c>
      <c r="Y148">
        <v>0.99393141269683838</v>
      </c>
      <c r="Z148">
        <v>0.99969112873077393</v>
      </c>
      <c r="AA148">
        <f t="shared" si="4"/>
        <v>-0.13537090873646207</v>
      </c>
      <c r="AB148">
        <f t="shared" si="5"/>
        <v>-0.14621207226283425</v>
      </c>
    </row>
    <row r="149" spans="1:28" x14ac:dyDescent="0.3">
      <c r="A149" t="s">
        <v>3</v>
      </c>
      <c r="B149" t="s">
        <v>198</v>
      </c>
      <c r="C149" t="s">
        <v>47</v>
      </c>
      <c r="D149">
        <v>241.60142415078306</v>
      </c>
      <c r="E149">
        <v>246.22</v>
      </c>
      <c r="F149">
        <v>241.6</v>
      </c>
      <c r="G149">
        <v>486733.29833593749</v>
      </c>
      <c r="H149">
        <v>374849.88000000012</v>
      </c>
      <c r="I149">
        <v>370346.13000000035</v>
      </c>
      <c r="J149">
        <v>-116387.16833593714</v>
      </c>
      <c r="K149">
        <v>-111883.41833593737</v>
      </c>
      <c r="L149" t="s">
        <v>48</v>
      </c>
      <c r="M149">
        <v>8760</v>
      </c>
      <c r="N149">
        <v>400</v>
      </c>
      <c r="O149" t="s">
        <v>49</v>
      </c>
      <c r="P149" t="s">
        <v>50</v>
      </c>
      <c r="Q149" t="s">
        <v>51</v>
      </c>
      <c r="R149" t="s">
        <v>51</v>
      </c>
      <c r="T149" t="s">
        <v>48</v>
      </c>
      <c r="U149">
        <v>8760</v>
      </c>
      <c r="V149">
        <v>2</v>
      </c>
      <c r="W149">
        <v>0.99855488538742065</v>
      </c>
      <c r="X149">
        <v>0.99855447825438104</v>
      </c>
      <c r="Y149">
        <v>0.99736326932907104</v>
      </c>
      <c r="Z149">
        <v>0.99974650144577026</v>
      </c>
      <c r="AA149">
        <f t="shared" si="4"/>
        <v>-0.23911897693017112</v>
      </c>
      <c r="AB149">
        <f t="shared" si="5"/>
        <v>-0.22986596297900452</v>
      </c>
    </row>
    <row r="150" spans="1:28" x14ac:dyDescent="0.3">
      <c r="A150" t="s">
        <v>3</v>
      </c>
      <c r="B150" t="s">
        <v>199</v>
      </c>
      <c r="C150" t="s">
        <v>47</v>
      </c>
      <c r="D150">
        <v>258.15967718165263</v>
      </c>
      <c r="E150">
        <v>265.02999999999997</v>
      </c>
      <c r="F150">
        <v>258.16000000000003</v>
      </c>
      <c r="G150">
        <v>507628.45707812504</v>
      </c>
      <c r="H150">
        <v>411079.7100000006</v>
      </c>
      <c r="I150">
        <v>409163.01000000018</v>
      </c>
      <c r="J150">
        <v>-98465.447078124853</v>
      </c>
      <c r="K150">
        <v>-96548.747078124434</v>
      </c>
      <c r="L150" t="s">
        <v>48</v>
      </c>
      <c r="M150">
        <v>8760</v>
      </c>
      <c r="N150">
        <v>425</v>
      </c>
      <c r="O150" t="s">
        <v>49</v>
      </c>
      <c r="P150" t="s">
        <v>50</v>
      </c>
      <c r="Q150" t="s">
        <v>51</v>
      </c>
      <c r="R150" t="s">
        <v>51</v>
      </c>
      <c r="T150" t="s">
        <v>48</v>
      </c>
      <c r="U150">
        <v>8760</v>
      </c>
      <c r="V150">
        <v>2</v>
      </c>
      <c r="W150">
        <v>0.99380028247833252</v>
      </c>
      <c r="X150">
        <v>0.99381173233103137</v>
      </c>
      <c r="Y150">
        <v>0.98938608169555664</v>
      </c>
      <c r="Z150">
        <v>0.9982144832611084</v>
      </c>
      <c r="AA150">
        <f t="shared" si="4"/>
        <v>-0.19397148781785262</v>
      </c>
      <c r="AB150">
        <f t="shared" si="5"/>
        <v>-0.19019569476828085</v>
      </c>
    </row>
    <row r="151" spans="1:28" x14ac:dyDescent="0.3">
      <c r="A151" t="s">
        <v>3</v>
      </c>
      <c r="B151" t="s">
        <v>200</v>
      </c>
      <c r="C151" t="s">
        <v>47</v>
      </c>
      <c r="D151">
        <v>235.85415400334225</v>
      </c>
      <c r="E151">
        <v>236.49</v>
      </c>
      <c r="F151">
        <v>235.85</v>
      </c>
      <c r="G151">
        <v>454493.76448437502</v>
      </c>
      <c r="H151">
        <v>373063.59000000032</v>
      </c>
      <c r="I151">
        <v>374548.37999999966</v>
      </c>
      <c r="J151">
        <v>-79945.384484375361</v>
      </c>
      <c r="K151">
        <v>-81430.1744843747</v>
      </c>
      <c r="L151" t="s">
        <v>48</v>
      </c>
      <c r="M151">
        <v>8760</v>
      </c>
      <c r="N151">
        <v>388</v>
      </c>
      <c r="O151" t="s">
        <v>49</v>
      </c>
      <c r="P151" t="s">
        <v>50</v>
      </c>
      <c r="Q151" t="s">
        <v>51</v>
      </c>
      <c r="R151" t="s">
        <v>51</v>
      </c>
      <c r="T151" t="s">
        <v>48</v>
      </c>
      <c r="U151">
        <v>8760</v>
      </c>
      <c r="V151">
        <v>3</v>
      </c>
      <c r="W151">
        <v>0.93240429957707727</v>
      </c>
      <c r="X151">
        <v>0.90814931817435562</v>
      </c>
      <c r="Y151">
        <v>0.83532488346099854</v>
      </c>
      <c r="Z151">
        <v>0.98315215110778809</v>
      </c>
      <c r="AA151">
        <f t="shared" si="4"/>
        <v>-0.17589984886827592</v>
      </c>
      <c r="AB151">
        <f t="shared" si="5"/>
        <v>-0.17916675837512877</v>
      </c>
    </row>
    <row r="152" spans="1:28" x14ac:dyDescent="0.3">
      <c r="A152" t="s">
        <v>3</v>
      </c>
      <c r="B152" t="s">
        <v>201</v>
      </c>
      <c r="C152" t="s">
        <v>47</v>
      </c>
      <c r="D152">
        <v>245.01354357281775</v>
      </c>
      <c r="E152">
        <v>247.87</v>
      </c>
      <c r="F152">
        <v>245.01</v>
      </c>
      <c r="G152">
        <v>460683.64830468752</v>
      </c>
      <c r="H152">
        <v>382755.12000000029</v>
      </c>
      <c r="I152">
        <v>392244.86000000092</v>
      </c>
      <c r="J152">
        <v>-68438.788304686605</v>
      </c>
      <c r="K152">
        <v>-77928.528304687236</v>
      </c>
      <c r="L152" t="s">
        <v>48</v>
      </c>
      <c r="M152">
        <v>8760</v>
      </c>
      <c r="N152">
        <v>403</v>
      </c>
      <c r="O152" t="s">
        <v>49</v>
      </c>
      <c r="P152" t="s">
        <v>50</v>
      </c>
      <c r="Q152" t="s">
        <v>51</v>
      </c>
      <c r="R152" t="s">
        <v>51</v>
      </c>
      <c r="T152" t="s">
        <v>48</v>
      </c>
      <c r="U152">
        <v>8760</v>
      </c>
      <c r="V152">
        <v>2</v>
      </c>
      <c r="W152">
        <v>0.99885499477386475</v>
      </c>
      <c r="X152">
        <v>0.99885601610320907</v>
      </c>
      <c r="Y152">
        <v>0.99779665470123291</v>
      </c>
      <c r="Z152">
        <v>0.99991333484649658</v>
      </c>
      <c r="AA152">
        <f t="shared" si="4"/>
        <v>-0.14855918710494903</v>
      </c>
      <c r="AB152">
        <f t="shared" si="5"/>
        <v>-0.16915844222269155</v>
      </c>
    </row>
    <row r="153" spans="1:28" x14ac:dyDescent="0.3">
      <c r="A153" t="s">
        <v>3</v>
      </c>
      <c r="B153" t="s">
        <v>202</v>
      </c>
      <c r="C153" t="s">
        <v>47</v>
      </c>
      <c r="D153">
        <v>145.95781184339836</v>
      </c>
      <c r="E153">
        <v>149.13999999999999</v>
      </c>
      <c r="F153">
        <v>145.96</v>
      </c>
      <c r="G153">
        <v>223355.429</v>
      </c>
      <c r="H153">
        <v>238931.25999999975</v>
      </c>
      <c r="I153">
        <v>235534.49000000057</v>
      </c>
      <c r="J153">
        <v>12179.061000000569</v>
      </c>
      <c r="K153">
        <v>15575.830999999744</v>
      </c>
      <c r="L153" t="s">
        <v>48</v>
      </c>
      <c r="M153">
        <v>8760</v>
      </c>
      <c r="N153">
        <v>239</v>
      </c>
      <c r="O153" t="s">
        <v>49</v>
      </c>
      <c r="P153" t="s">
        <v>50</v>
      </c>
      <c r="Q153" t="s">
        <v>51</v>
      </c>
      <c r="R153" t="s">
        <v>51</v>
      </c>
      <c r="T153" t="s">
        <v>48</v>
      </c>
      <c r="U153">
        <v>8760</v>
      </c>
      <c r="V153">
        <v>2</v>
      </c>
      <c r="W153">
        <v>0.99976080656051636</v>
      </c>
      <c r="X153">
        <v>0.99976084840388335</v>
      </c>
      <c r="Y153">
        <v>0.99972683191299438</v>
      </c>
      <c r="Z153">
        <v>0.99979478120803833</v>
      </c>
      <c r="AA153">
        <f t="shared" si="4"/>
        <v>5.4527714211059397E-2</v>
      </c>
      <c r="AB153">
        <f t="shared" si="5"/>
        <v>6.9735627514116716E-2</v>
      </c>
    </row>
    <row r="154" spans="1:28" x14ac:dyDescent="0.3">
      <c r="A154" t="s">
        <v>3</v>
      </c>
      <c r="B154" t="s">
        <v>203</v>
      </c>
      <c r="C154" t="s">
        <v>47</v>
      </c>
      <c r="D154">
        <v>155.02372116428839</v>
      </c>
      <c r="E154">
        <v>158.13</v>
      </c>
      <c r="F154">
        <v>155.02000000000001</v>
      </c>
      <c r="G154">
        <v>269825.91621875</v>
      </c>
      <c r="H154">
        <v>250855.48000000004</v>
      </c>
      <c r="I154">
        <v>249810.50999999992</v>
      </c>
      <c r="J154">
        <v>-20015.406218750082</v>
      </c>
      <c r="K154">
        <v>-18970.436218749965</v>
      </c>
      <c r="L154" t="s">
        <v>48</v>
      </c>
      <c r="M154">
        <v>8760</v>
      </c>
      <c r="N154">
        <v>257</v>
      </c>
      <c r="O154" t="s">
        <v>49</v>
      </c>
      <c r="P154" t="s">
        <v>50</v>
      </c>
      <c r="Q154" t="s">
        <v>51</v>
      </c>
      <c r="R154" t="s">
        <v>51</v>
      </c>
      <c r="T154" t="s">
        <v>48</v>
      </c>
      <c r="U154">
        <v>8760</v>
      </c>
      <c r="V154">
        <v>2</v>
      </c>
      <c r="W154">
        <v>0.99920478463172913</v>
      </c>
      <c r="X154">
        <v>0.99920502312756998</v>
      </c>
      <c r="Y154">
        <v>0.99872297048568726</v>
      </c>
      <c r="Z154">
        <v>0.999686598777771</v>
      </c>
      <c r="AA154">
        <f t="shared" si="4"/>
        <v>-7.4178961380875791E-2</v>
      </c>
      <c r="AB154">
        <f t="shared" si="5"/>
        <v>-7.0306205143654488E-2</v>
      </c>
    </row>
    <row r="155" spans="1:28" x14ac:dyDescent="0.3">
      <c r="A155" t="s">
        <v>3</v>
      </c>
      <c r="B155" t="s">
        <v>204</v>
      </c>
      <c r="C155" t="s">
        <v>47</v>
      </c>
      <c r="D155">
        <v>140.49586130467051</v>
      </c>
      <c r="E155">
        <v>142.72999999999999</v>
      </c>
      <c r="F155">
        <v>140.5</v>
      </c>
      <c r="G155">
        <v>206321.36459375001</v>
      </c>
      <c r="H155">
        <v>229933.05999999976</v>
      </c>
      <c r="I155">
        <v>226519.22999999902</v>
      </c>
      <c r="J155">
        <v>20197.86540624901</v>
      </c>
      <c r="K155">
        <v>23611.695406249753</v>
      </c>
      <c r="L155" t="s">
        <v>48</v>
      </c>
      <c r="M155">
        <v>8760</v>
      </c>
      <c r="N155">
        <v>233</v>
      </c>
      <c r="O155" t="s">
        <v>49</v>
      </c>
      <c r="P155" t="s">
        <v>50</v>
      </c>
      <c r="Q155" t="s">
        <v>51</v>
      </c>
      <c r="R155" t="s">
        <v>51</v>
      </c>
      <c r="T155" t="s">
        <v>48</v>
      </c>
      <c r="U155">
        <v>8760</v>
      </c>
      <c r="V155">
        <v>2</v>
      </c>
      <c r="W155">
        <v>0.99995023012161255</v>
      </c>
      <c r="X155">
        <v>0.99995023077677969</v>
      </c>
      <c r="Y155">
        <v>0.99994993209838867</v>
      </c>
      <c r="Z155">
        <v>0.99995052814483643</v>
      </c>
      <c r="AA155">
        <f t="shared" si="4"/>
        <v>9.7895171670752193E-2</v>
      </c>
      <c r="AB155">
        <f t="shared" si="5"/>
        <v>0.11444134955554192</v>
      </c>
    </row>
    <row r="156" spans="1:28" x14ac:dyDescent="0.3">
      <c r="A156" t="s">
        <v>3</v>
      </c>
      <c r="B156" t="s">
        <v>205</v>
      </c>
      <c r="C156" t="s">
        <v>47</v>
      </c>
      <c r="D156">
        <v>149.5704646425458</v>
      </c>
      <c r="E156">
        <v>155.61000000000001</v>
      </c>
      <c r="F156">
        <v>149.57</v>
      </c>
      <c r="G156">
        <v>245085.89434375</v>
      </c>
      <c r="H156">
        <v>246715.12999999971</v>
      </c>
      <c r="I156">
        <v>241404.1499999997</v>
      </c>
      <c r="J156">
        <v>-3681.7443437502952</v>
      </c>
      <c r="K156">
        <v>1629.2356562497152</v>
      </c>
      <c r="L156" t="s">
        <v>48</v>
      </c>
      <c r="M156">
        <v>8760</v>
      </c>
      <c r="N156">
        <v>246</v>
      </c>
      <c r="O156" t="s">
        <v>49</v>
      </c>
      <c r="P156" t="s">
        <v>50</v>
      </c>
      <c r="Q156" t="s">
        <v>51</v>
      </c>
      <c r="R156" t="s">
        <v>51</v>
      </c>
      <c r="T156" t="s">
        <v>48</v>
      </c>
      <c r="U156">
        <v>8760</v>
      </c>
      <c r="V156">
        <v>2</v>
      </c>
      <c r="W156">
        <v>0.99909529089927673</v>
      </c>
      <c r="X156">
        <v>0.99909541339456986</v>
      </c>
      <c r="Y156">
        <v>0.99862980842590332</v>
      </c>
      <c r="Z156">
        <v>0.99956077337265015</v>
      </c>
      <c r="AA156">
        <f t="shared" si="4"/>
        <v>-1.5022261291734697E-2</v>
      </c>
      <c r="AB156">
        <f t="shared" si="5"/>
        <v>6.6476108737804351E-3</v>
      </c>
    </row>
    <row r="157" spans="1:28" x14ac:dyDescent="0.3">
      <c r="A157" t="s">
        <v>3</v>
      </c>
      <c r="B157" t="s">
        <v>206</v>
      </c>
      <c r="C157" t="s">
        <v>47</v>
      </c>
      <c r="D157">
        <v>168.26990672539043</v>
      </c>
      <c r="E157">
        <v>170.98</v>
      </c>
      <c r="F157">
        <v>168.27</v>
      </c>
      <c r="G157">
        <v>316076.93099999998</v>
      </c>
      <c r="H157">
        <v>274516.86000000022</v>
      </c>
      <c r="I157">
        <v>270808.7100000006</v>
      </c>
      <c r="J157">
        <v>-45268.220999999379</v>
      </c>
      <c r="K157">
        <v>-41560.070999999763</v>
      </c>
      <c r="L157" t="s">
        <v>48</v>
      </c>
      <c r="M157">
        <v>8760</v>
      </c>
      <c r="N157">
        <v>277</v>
      </c>
      <c r="O157" t="s">
        <v>49</v>
      </c>
      <c r="P157" t="s">
        <v>50</v>
      </c>
      <c r="Q157" t="s">
        <v>51</v>
      </c>
      <c r="R157" t="s">
        <v>51</v>
      </c>
      <c r="T157" t="s">
        <v>48</v>
      </c>
      <c r="U157">
        <v>8760</v>
      </c>
      <c r="V157">
        <v>2</v>
      </c>
      <c r="W157">
        <v>0.99660363793373108</v>
      </c>
      <c r="X157">
        <v>0.99660404516430101</v>
      </c>
      <c r="Y157">
        <v>0.99526995420455933</v>
      </c>
      <c r="Z157">
        <v>0.99793732166290283</v>
      </c>
      <c r="AA157">
        <f t="shared" si="4"/>
        <v>-0.14321899689667444</v>
      </c>
      <c r="AB157">
        <f t="shared" si="5"/>
        <v>-0.13148720113332082</v>
      </c>
    </row>
    <row r="158" spans="1:28" x14ac:dyDescent="0.3">
      <c r="A158" t="s">
        <v>3</v>
      </c>
      <c r="B158" t="s">
        <v>207</v>
      </c>
      <c r="C158" t="s">
        <v>47</v>
      </c>
      <c r="D158">
        <v>168.17110196732688</v>
      </c>
      <c r="E158">
        <v>169.22</v>
      </c>
      <c r="F158">
        <v>168.17</v>
      </c>
      <c r="G158">
        <v>301772.49840625003</v>
      </c>
      <c r="H158">
        <v>271462.75999999908</v>
      </c>
      <c r="I158">
        <v>271078.32999999984</v>
      </c>
      <c r="J158">
        <v>-30694.168406250188</v>
      </c>
      <c r="K158">
        <v>-30309.738406250952</v>
      </c>
      <c r="L158" t="s">
        <v>48</v>
      </c>
      <c r="M158">
        <v>8760</v>
      </c>
      <c r="N158">
        <v>276</v>
      </c>
      <c r="O158" t="s">
        <v>49</v>
      </c>
      <c r="P158" t="s">
        <v>50</v>
      </c>
      <c r="Q158" t="s">
        <v>51</v>
      </c>
      <c r="R158" t="s">
        <v>51</v>
      </c>
      <c r="T158" t="s">
        <v>48</v>
      </c>
      <c r="U158">
        <v>8760</v>
      </c>
      <c r="V158">
        <v>2</v>
      </c>
      <c r="W158">
        <v>0.9990716278553009</v>
      </c>
      <c r="X158">
        <v>0.99907158779454852</v>
      </c>
      <c r="Y158">
        <v>0.99902665615081787</v>
      </c>
      <c r="Z158">
        <v>0.99911659955978394</v>
      </c>
      <c r="AA158">
        <f t="shared" si="4"/>
        <v>-0.10171294126653418</v>
      </c>
      <c r="AB158">
        <f t="shared" si="5"/>
        <v>-0.10043903459170621</v>
      </c>
    </row>
    <row r="159" spans="1:28" x14ac:dyDescent="0.3">
      <c r="A159" t="s">
        <v>3</v>
      </c>
      <c r="B159" t="s">
        <v>208</v>
      </c>
      <c r="C159" t="s">
        <v>47</v>
      </c>
      <c r="D159">
        <v>171.08450891748635</v>
      </c>
      <c r="E159">
        <v>175.16</v>
      </c>
      <c r="F159">
        <v>171.57</v>
      </c>
      <c r="G159">
        <v>309147.53792187502</v>
      </c>
      <c r="H159">
        <v>280367.43000000005</v>
      </c>
      <c r="I159">
        <v>276251.53000000038</v>
      </c>
      <c r="J159">
        <v>-32896.00792187464</v>
      </c>
      <c r="K159">
        <v>-28780.107921874966</v>
      </c>
      <c r="L159" t="s">
        <v>48</v>
      </c>
      <c r="M159">
        <v>8760</v>
      </c>
      <c r="N159">
        <v>283</v>
      </c>
      <c r="O159" t="s">
        <v>49</v>
      </c>
      <c r="P159" t="s">
        <v>50</v>
      </c>
      <c r="Q159" t="s">
        <v>51</v>
      </c>
      <c r="R159" t="s">
        <v>51</v>
      </c>
      <c r="T159" t="s">
        <v>48</v>
      </c>
      <c r="U159">
        <v>8760</v>
      </c>
      <c r="V159">
        <v>2</v>
      </c>
      <c r="W159">
        <v>0.99091166257858276</v>
      </c>
      <c r="X159">
        <v>0.99090648878761634</v>
      </c>
      <c r="Y159">
        <v>0.98562496900558472</v>
      </c>
      <c r="Z159">
        <v>0.99619835615158081</v>
      </c>
      <c r="AA159">
        <f t="shared" si="4"/>
        <v>-0.10640876567546148</v>
      </c>
      <c r="AB159">
        <f t="shared" si="5"/>
        <v>-9.30950578333508E-2</v>
      </c>
    </row>
    <row r="160" spans="1:28" x14ac:dyDescent="0.3">
      <c r="A160" t="s">
        <v>3</v>
      </c>
      <c r="B160" t="s">
        <v>209</v>
      </c>
      <c r="C160" t="s">
        <v>47</v>
      </c>
      <c r="D160">
        <v>144.32549262094253</v>
      </c>
      <c r="E160">
        <v>146.93</v>
      </c>
      <c r="F160">
        <v>144.31</v>
      </c>
      <c r="G160">
        <v>228865.43795312502</v>
      </c>
      <c r="H160">
        <v>232509.84000000069</v>
      </c>
      <c r="I160">
        <v>232005.64000000054</v>
      </c>
      <c r="J160">
        <v>3140.2020468755218</v>
      </c>
      <c r="K160">
        <v>3644.4020468756789</v>
      </c>
      <c r="L160" t="s">
        <v>48</v>
      </c>
      <c r="M160">
        <v>8760</v>
      </c>
      <c r="N160">
        <v>238</v>
      </c>
      <c r="O160" t="s">
        <v>49</v>
      </c>
      <c r="P160" t="s">
        <v>50</v>
      </c>
      <c r="Q160" t="s">
        <v>51</v>
      </c>
      <c r="R160" t="s">
        <v>51</v>
      </c>
      <c r="T160" t="s">
        <v>48</v>
      </c>
      <c r="U160">
        <v>8760</v>
      </c>
      <c r="V160">
        <v>2</v>
      </c>
      <c r="W160">
        <v>0.99315100908279419</v>
      </c>
      <c r="X160">
        <v>0.99315172871774615</v>
      </c>
      <c r="Y160">
        <v>0.98883748054504395</v>
      </c>
      <c r="Z160">
        <v>0.99746453762054443</v>
      </c>
      <c r="AA160">
        <f t="shared" si="4"/>
        <v>1.3720735096396167E-2</v>
      </c>
      <c r="AB160">
        <f t="shared" si="5"/>
        <v>1.5923776344168254E-2</v>
      </c>
    </row>
    <row r="161" spans="1:28" x14ac:dyDescent="0.3">
      <c r="A161" t="s">
        <v>3</v>
      </c>
      <c r="B161" t="s">
        <v>210</v>
      </c>
      <c r="C161" t="s">
        <v>47</v>
      </c>
      <c r="D161">
        <v>175.91130337677518</v>
      </c>
      <c r="E161">
        <v>179.27</v>
      </c>
      <c r="F161">
        <v>175.91</v>
      </c>
      <c r="G161">
        <v>334225.99165625003</v>
      </c>
      <c r="H161">
        <v>288070.96000000136</v>
      </c>
      <c r="I161">
        <v>283702.5400000005</v>
      </c>
      <c r="J161">
        <v>-50523.451656249526</v>
      </c>
      <c r="K161">
        <v>-46155.03165624867</v>
      </c>
      <c r="L161" t="s">
        <v>48</v>
      </c>
      <c r="M161">
        <v>8760</v>
      </c>
      <c r="N161">
        <v>290</v>
      </c>
      <c r="O161" t="s">
        <v>49</v>
      </c>
      <c r="P161" t="s">
        <v>50</v>
      </c>
      <c r="Q161" t="s">
        <v>51</v>
      </c>
      <c r="R161" t="s">
        <v>51</v>
      </c>
      <c r="T161" t="s">
        <v>48</v>
      </c>
      <c r="U161">
        <v>8760</v>
      </c>
      <c r="V161">
        <v>2</v>
      </c>
      <c r="W161">
        <v>0.99900144338607788</v>
      </c>
      <c r="X161">
        <v>0.99900139746873196</v>
      </c>
      <c r="Y161">
        <v>0.99896633625030518</v>
      </c>
      <c r="Z161">
        <v>0.99903655052185059</v>
      </c>
      <c r="AA161">
        <f t="shared" si="4"/>
        <v>-0.15116553744333766</v>
      </c>
      <c r="AB161">
        <f t="shared" si="5"/>
        <v>-0.13809527926756493</v>
      </c>
    </row>
    <row r="162" spans="1:28" x14ac:dyDescent="0.3">
      <c r="A162" t="s">
        <v>3</v>
      </c>
      <c r="B162" t="s">
        <v>211</v>
      </c>
      <c r="C162" t="s">
        <v>47</v>
      </c>
      <c r="D162">
        <v>176.92465514787213</v>
      </c>
      <c r="E162">
        <v>178.85</v>
      </c>
      <c r="F162">
        <v>176.92</v>
      </c>
      <c r="G162">
        <v>325582.07303124998</v>
      </c>
      <c r="H162">
        <v>286726.12000000011</v>
      </c>
      <c r="I162">
        <v>292092.22999999934</v>
      </c>
      <c r="J162">
        <v>-33489.843031250639</v>
      </c>
      <c r="K162">
        <v>-38855.953031249868</v>
      </c>
      <c r="L162" t="s">
        <v>48</v>
      </c>
      <c r="M162">
        <v>8760</v>
      </c>
      <c r="N162">
        <v>291</v>
      </c>
      <c r="O162" t="s">
        <v>49</v>
      </c>
      <c r="P162" t="s">
        <v>50</v>
      </c>
      <c r="Q162" t="s">
        <v>51</v>
      </c>
      <c r="R162" t="s">
        <v>51</v>
      </c>
      <c r="T162" t="s">
        <v>48</v>
      </c>
      <c r="U162">
        <v>8760</v>
      </c>
      <c r="V162">
        <v>2</v>
      </c>
      <c r="W162">
        <v>0.98356935381889343</v>
      </c>
      <c r="X162">
        <v>0.98355319038050704</v>
      </c>
      <c r="Y162">
        <v>0.96934670209884644</v>
      </c>
      <c r="Z162">
        <v>0.99779200553894043</v>
      </c>
      <c r="AA162">
        <f t="shared" si="4"/>
        <v>-0.10286144663756171</v>
      </c>
      <c r="AB162">
        <f t="shared" si="5"/>
        <v>-0.11934303590333244</v>
      </c>
    </row>
    <row r="163" spans="1:28" x14ac:dyDescent="0.3">
      <c r="A163" t="s">
        <v>3</v>
      </c>
      <c r="B163" t="s">
        <v>212</v>
      </c>
      <c r="C163" t="s">
        <v>47</v>
      </c>
      <c r="D163">
        <v>174.74373677595116</v>
      </c>
      <c r="E163">
        <v>177.67</v>
      </c>
      <c r="F163">
        <v>174.59</v>
      </c>
      <c r="G163">
        <v>338186.60887500003</v>
      </c>
      <c r="H163">
        <v>285014.64000000036</v>
      </c>
      <c r="I163">
        <v>281398.32000000012</v>
      </c>
      <c r="J163">
        <v>-56788.288874999911</v>
      </c>
      <c r="K163">
        <v>-53171.968874999671</v>
      </c>
      <c r="L163" t="s">
        <v>48</v>
      </c>
      <c r="M163">
        <v>8760</v>
      </c>
      <c r="N163">
        <v>289</v>
      </c>
      <c r="O163" t="s">
        <v>49</v>
      </c>
      <c r="P163" t="s">
        <v>50</v>
      </c>
      <c r="Q163" t="s">
        <v>51</v>
      </c>
      <c r="R163" t="s">
        <v>51</v>
      </c>
      <c r="T163" t="s">
        <v>48</v>
      </c>
      <c r="U163">
        <v>8760</v>
      </c>
      <c r="V163">
        <v>2</v>
      </c>
      <c r="W163">
        <v>0.99248117208480835</v>
      </c>
      <c r="X163">
        <v>0.9924740506953138</v>
      </c>
      <c r="Y163">
        <v>0.98682630062103271</v>
      </c>
      <c r="Z163">
        <v>0.99813604354858398</v>
      </c>
      <c r="AA163">
        <f t="shared" si="4"/>
        <v>-0.16791998081742468</v>
      </c>
      <c r="AB163">
        <f t="shared" si="5"/>
        <v>-0.15722671294371979</v>
      </c>
    </row>
    <row r="164" spans="1:28" x14ac:dyDescent="0.3">
      <c r="A164" t="s">
        <v>3</v>
      </c>
      <c r="B164" t="s">
        <v>213</v>
      </c>
      <c r="C164" t="s">
        <v>47</v>
      </c>
      <c r="D164">
        <v>144.10569131965207</v>
      </c>
      <c r="E164">
        <v>145.34</v>
      </c>
      <c r="F164">
        <v>144.11000000000001</v>
      </c>
      <c r="G164">
        <v>239001.39446875002</v>
      </c>
      <c r="H164">
        <v>233986.1600000005</v>
      </c>
      <c r="I164">
        <v>232527.93999999997</v>
      </c>
      <c r="J164">
        <v>-6473.4544687500456</v>
      </c>
      <c r="K164">
        <v>-5015.2344687495206</v>
      </c>
      <c r="L164" t="s">
        <v>48</v>
      </c>
      <c r="M164">
        <v>8760</v>
      </c>
      <c r="N164">
        <v>238</v>
      </c>
      <c r="O164" t="s">
        <v>49</v>
      </c>
      <c r="P164" t="s">
        <v>50</v>
      </c>
      <c r="Q164" t="s">
        <v>51</v>
      </c>
      <c r="R164" t="s">
        <v>51</v>
      </c>
      <c r="T164" t="s">
        <v>48</v>
      </c>
      <c r="U164">
        <v>8760</v>
      </c>
      <c r="V164">
        <v>2</v>
      </c>
      <c r="W164">
        <v>0.99308276176452637</v>
      </c>
      <c r="X164">
        <v>0.99307566472583031</v>
      </c>
      <c r="Y164">
        <v>0.98727589845657349</v>
      </c>
      <c r="Z164">
        <v>0.99888962507247925</v>
      </c>
      <c r="AA164">
        <f t="shared" si="4"/>
        <v>-2.7085425518705349E-2</v>
      </c>
      <c r="AB164">
        <f t="shared" si="5"/>
        <v>-2.0984122205216983E-2</v>
      </c>
    </row>
    <row r="165" spans="1:28" x14ac:dyDescent="0.3">
      <c r="A165" t="s">
        <v>3</v>
      </c>
      <c r="B165" t="s">
        <v>214</v>
      </c>
      <c r="C165" t="s">
        <v>47</v>
      </c>
      <c r="D165">
        <v>178.17608781563666</v>
      </c>
      <c r="E165">
        <v>179.09</v>
      </c>
      <c r="F165">
        <v>178.18</v>
      </c>
      <c r="G165">
        <v>384878.57740625</v>
      </c>
      <c r="H165">
        <v>288260.71999999939</v>
      </c>
      <c r="I165">
        <v>287611.15000000049</v>
      </c>
      <c r="J165">
        <v>-97267.42740624951</v>
      </c>
      <c r="K165">
        <v>-96617.857406250609</v>
      </c>
      <c r="L165" t="s">
        <v>48</v>
      </c>
      <c r="M165">
        <v>8760</v>
      </c>
      <c r="N165">
        <v>296</v>
      </c>
      <c r="O165" t="s">
        <v>49</v>
      </c>
      <c r="P165" t="s">
        <v>50</v>
      </c>
      <c r="Q165" t="s">
        <v>51</v>
      </c>
      <c r="R165" t="s">
        <v>51</v>
      </c>
      <c r="T165" t="s">
        <v>48</v>
      </c>
      <c r="U165">
        <v>8760</v>
      </c>
      <c r="V165">
        <v>2</v>
      </c>
      <c r="W165">
        <v>0.99645799398422241</v>
      </c>
      <c r="X165">
        <v>0.99645767335385516</v>
      </c>
      <c r="Y165">
        <v>0.99556434154510498</v>
      </c>
      <c r="Z165">
        <v>0.99735164642333984</v>
      </c>
      <c r="AA165">
        <f t="shared" si="4"/>
        <v>-0.25272237301890943</v>
      </c>
      <c r="AB165">
        <f t="shared" si="5"/>
        <v>-0.2510346459326776</v>
      </c>
    </row>
    <row r="166" spans="1:28" x14ac:dyDescent="0.3">
      <c r="A166" t="s">
        <v>3</v>
      </c>
      <c r="B166" t="s">
        <v>215</v>
      </c>
      <c r="C166" t="s">
        <v>47</v>
      </c>
      <c r="D166">
        <v>173.87833387032805</v>
      </c>
      <c r="E166">
        <v>176.94</v>
      </c>
      <c r="F166">
        <v>173.88</v>
      </c>
      <c r="G166">
        <v>345016.89559375</v>
      </c>
      <c r="H166">
        <v>285688.79999999981</v>
      </c>
      <c r="I166">
        <v>280495.56999999913</v>
      </c>
      <c r="J166">
        <v>-64521.325593750866</v>
      </c>
      <c r="K166">
        <v>-59328.095593750186</v>
      </c>
      <c r="L166" t="s">
        <v>48</v>
      </c>
      <c r="M166">
        <v>8760</v>
      </c>
      <c r="N166">
        <v>285</v>
      </c>
      <c r="O166" t="s">
        <v>49</v>
      </c>
      <c r="P166" t="s">
        <v>50</v>
      </c>
      <c r="Q166" t="s">
        <v>51</v>
      </c>
      <c r="R166" t="s">
        <v>51</v>
      </c>
      <c r="T166" t="s">
        <v>48</v>
      </c>
      <c r="U166">
        <v>8760</v>
      </c>
      <c r="V166">
        <v>2</v>
      </c>
      <c r="W166">
        <v>0.9969789981842041</v>
      </c>
      <c r="X166">
        <v>0.99697807557976947</v>
      </c>
      <c r="Y166">
        <v>0.99595600366592407</v>
      </c>
      <c r="Z166">
        <v>0.99800199270248413</v>
      </c>
      <c r="AA166">
        <f t="shared" si="4"/>
        <v>-0.18700917670340222</v>
      </c>
      <c r="AB166">
        <f t="shared" si="5"/>
        <v>-0.17195707326637055</v>
      </c>
    </row>
    <row r="167" spans="1:28" x14ac:dyDescent="0.3">
      <c r="A167" t="s">
        <v>3</v>
      </c>
      <c r="B167" t="s">
        <v>216</v>
      </c>
      <c r="C167" t="s">
        <v>47</v>
      </c>
      <c r="D167">
        <v>181.6096663803425</v>
      </c>
      <c r="E167">
        <v>187.68</v>
      </c>
      <c r="F167">
        <v>178.42</v>
      </c>
      <c r="G167">
        <v>311207.17768750002</v>
      </c>
      <c r="H167">
        <v>301988.23000000016</v>
      </c>
      <c r="I167">
        <v>275316.51000000047</v>
      </c>
      <c r="J167">
        <v>-35890.667687499546</v>
      </c>
      <c r="K167">
        <v>-9218.9476874998654</v>
      </c>
      <c r="L167" t="s">
        <v>48</v>
      </c>
      <c r="M167">
        <v>8760</v>
      </c>
      <c r="N167">
        <v>301</v>
      </c>
      <c r="O167" t="s">
        <v>49</v>
      </c>
      <c r="P167" t="s">
        <v>50</v>
      </c>
      <c r="Q167" t="s">
        <v>51</v>
      </c>
      <c r="R167" t="s">
        <v>51</v>
      </c>
      <c r="T167" t="s">
        <v>48</v>
      </c>
      <c r="U167">
        <v>8760</v>
      </c>
      <c r="V167">
        <v>2</v>
      </c>
      <c r="W167">
        <v>0.99648454785346985</v>
      </c>
      <c r="X167">
        <v>0.99648478618288439</v>
      </c>
      <c r="Y167">
        <v>0.99567186832427979</v>
      </c>
      <c r="Z167">
        <v>0.99729722738265991</v>
      </c>
      <c r="AA167">
        <f t="shared" si="4"/>
        <v>-0.11532724905059648</v>
      </c>
      <c r="AB167">
        <f t="shared" si="5"/>
        <v>-2.9623184645044112E-2</v>
      </c>
    </row>
    <row r="168" spans="1:28" x14ac:dyDescent="0.3">
      <c r="A168" t="s">
        <v>3</v>
      </c>
      <c r="B168" t="s">
        <v>217</v>
      </c>
      <c r="C168" t="s">
        <v>47</v>
      </c>
      <c r="D168">
        <v>165.94397431321659</v>
      </c>
      <c r="E168">
        <v>170.2</v>
      </c>
      <c r="F168">
        <v>160.07</v>
      </c>
      <c r="G168">
        <v>316833.83306249999</v>
      </c>
      <c r="H168">
        <v>270522.00999999949</v>
      </c>
      <c r="I168">
        <v>258406.23000000021</v>
      </c>
      <c r="J168">
        <v>-58427.60306249978</v>
      </c>
      <c r="K168">
        <v>-46311.823062500509</v>
      </c>
      <c r="L168" t="s">
        <v>48</v>
      </c>
      <c r="M168">
        <v>8760</v>
      </c>
      <c r="N168">
        <v>273</v>
      </c>
      <c r="O168" t="s">
        <v>49</v>
      </c>
      <c r="P168" t="s">
        <v>50</v>
      </c>
      <c r="Q168" t="s">
        <v>51</v>
      </c>
      <c r="R168" t="s">
        <v>51</v>
      </c>
      <c r="T168" t="s">
        <v>48</v>
      </c>
      <c r="U168">
        <v>8760</v>
      </c>
      <c r="V168">
        <v>2</v>
      </c>
      <c r="W168">
        <v>0.98472288250923157</v>
      </c>
      <c r="X168">
        <v>0.98472414724676793</v>
      </c>
      <c r="Y168">
        <v>0.97901195287704468</v>
      </c>
      <c r="Z168">
        <v>0.99043381214141846</v>
      </c>
      <c r="AA168">
        <f t="shared" si="4"/>
        <v>-0.18441087082696153</v>
      </c>
      <c r="AB168">
        <f t="shared" si="5"/>
        <v>-0.14617069968460358</v>
      </c>
    </row>
    <row r="169" spans="1:28" x14ac:dyDescent="0.3">
      <c r="A169" t="s">
        <v>3</v>
      </c>
      <c r="B169" t="s">
        <v>218</v>
      </c>
      <c r="C169" t="s">
        <v>47</v>
      </c>
      <c r="D169">
        <v>177.52570856358739</v>
      </c>
      <c r="E169">
        <v>180.06</v>
      </c>
      <c r="F169">
        <v>177.53</v>
      </c>
      <c r="G169">
        <v>344755.52259374998</v>
      </c>
      <c r="H169">
        <v>289323.05999999924</v>
      </c>
      <c r="I169">
        <v>285754.26999999973</v>
      </c>
      <c r="J169">
        <v>-59001.252593750251</v>
      </c>
      <c r="K169">
        <v>-55432.462593750737</v>
      </c>
      <c r="L169" t="s">
        <v>48</v>
      </c>
      <c r="M169">
        <v>8760</v>
      </c>
      <c r="N169">
        <v>292</v>
      </c>
      <c r="O169" t="s">
        <v>49</v>
      </c>
      <c r="P169" t="s">
        <v>50</v>
      </c>
      <c r="Q169" t="s">
        <v>51</v>
      </c>
      <c r="R169" t="s">
        <v>51</v>
      </c>
      <c r="T169" t="s">
        <v>48</v>
      </c>
      <c r="U169">
        <v>8760</v>
      </c>
      <c r="V169">
        <v>2</v>
      </c>
      <c r="W169">
        <v>0.99582955241203308</v>
      </c>
      <c r="X169">
        <v>0.99582829908142179</v>
      </c>
      <c r="Y169">
        <v>0.99293220043182373</v>
      </c>
      <c r="Z169">
        <v>0.99872690439224243</v>
      </c>
      <c r="AA169">
        <f t="shared" si="4"/>
        <v>-0.17113939799965333</v>
      </c>
      <c r="AB169">
        <f t="shared" si="5"/>
        <v>-0.16078774366457579</v>
      </c>
    </row>
    <row r="170" spans="1:28" x14ac:dyDescent="0.3">
      <c r="A170" t="s">
        <v>3</v>
      </c>
      <c r="B170" t="s">
        <v>219</v>
      </c>
      <c r="C170" t="s">
        <v>47</v>
      </c>
      <c r="D170">
        <v>182.24511987198849</v>
      </c>
      <c r="E170">
        <v>183.96</v>
      </c>
      <c r="F170">
        <v>181.15</v>
      </c>
      <c r="G170">
        <v>350334.44559374999</v>
      </c>
      <c r="H170">
        <v>295272.45000000077</v>
      </c>
      <c r="I170">
        <v>292116.76</v>
      </c>
      <c r="J170">
        <v>-58217.685593749979</v>
      </c>
      <c r="K170">
        <v>-55061.99559374922</v>
      </c>
      <c r="L170" t="s">
        <v>48</v>
      </c>
      <c r="M170">
        <v>8760</v>
      </c>
      <c r="N170">
        <v>300</v>
      </c>
      <c r="O170" t="s">
        <v>49</v>
      </c>
      <c r="P170" t="s">
        <v>50</v>
      </c>
      <c r="Q170" t="s">
        <v>51</v>
      </c>
      <c r="R170" t="s">
        <v>51</v>
      </c>
      <c r="T170" t="s">
        <v>48</v>
      </c>
      <c r="U170">
        <v>8760</v>
      </c>
      <c r="V170">
        <v>2</v>
      </c>
      <c r="W170">
        <v>0.97030183672904968</v>
      </c>
      <c r="X170">
        <v>0.97030324171114046</v>
      </c>
      <c r="Y170">
        <v>0.95945388078689575</v>
      </c>
      <c r="Z170">
        <v>0.98114979267120361</v>
      </c>
      <c r="AA170">
        <f t="shared" si="4"/>
        <v>-0.16617745222021238</v>
      </c>
      <c r="AB170">
        <f t="shared" si="5"/>
        <v>-0.15716980241674394</v>
      </c>
    </row>
    <row r="171" spans="1:28" x14ac:dyDescent="0.3">
      <c r="A171" t="s">
        <v>3</v>
      </c>
      <c r="B171" t="s">
        <v>220</v>
      </c>
      <c r="C171" t="s">
        <v>47</v>
      </c>
      <c r="D171">
        <v>183.00219818562579</v>
      </c>
      <c r="E171">
        <v>185.51</v>
      </c>
      <c r="F171">
        <v>183.02</v>
      </c>
      <c r="G171">
        <v>351780.62765625003</v>
      </c>
      <c r="H171">
        <v>297786.25000000047</v>
      </c>
      <c r="I171">
        <v>294993.01999999949</v>
      </c>
      <c r="J171">
        <v>-56787.607656250533</v>
      </c>
      <c r="K171">
        <v>-53994.377656249562</v>
      </c>
      <c r="L171" t="s">
        <v>48</v>
      </c>
      <c r="M171">
        <v>8760</v>
      </c>
      <c r="N171">
        <v>301</v>
      </c>
      <c r="O171" t="s">
        <v>49</v>
      </c>
      <c r="P171" t="s">
        <v>50</v>
      </c>
      <c r="Q171" t="s">
        <v>51</v>
      </c>
      <c r="R171" t="s">
        <v>51</v>
      </c>
      <c r="T171" t="s">
        <v>48</v>
      </c>
      <c r="U171">
        <v>8760</v>
      </c>
      <c r="V171">
        <v>2</v>
      </c>
      <c r="W171">
        <v>0.99587225914001465</v>
      </c>
      <c r="X171">
        <v>0.99587600250240049</v>
      </c>
      <c r="Y171">
        <v>0.99267417192459106</v>
      </c>
      <c r="Z171">
        <v>0.99907034635543823</v>
      </c>
      <c r="AA171">
        <f t="shared" si="4"/>
        <v>-0.16142903614277976</v>
      </c>
      <c r="AB171">
        <f t="shared" si="5"/>
        <v>-0.15348877513804235</v>
      </c>
    </row>
    <row r="172" spans="1:28" x14ac:dyDescent="0.3">
      <c r="A172" t="s">
        <v>3</v>
      </c>
      <c r="B172" t="s">
        <v>221</v>
      </c>
      <c r="C172" t="s">
        <v>47</v>
      </c>
      <c r="D172">
        <v>146.18670826648344</v>
      </c>
      <c r="E172">
        <v>151.74</v>
      </c>
      <c r="F172">
        <v>146.25</v>
      </c>
      <c r="G172">
        <v>235725.24365625001</v>
      </c>
      <c r="H172">
        <v>238540.72000000009</v>
      </c>
      <c r="I172">
        <v>226395.86999999962</v>
      </c>
      <c r="J172">
        <v>-9329.3736562503909</v>
      </c>
      <c r="K172">
        <v>2815.4763437500806</v>
      </c>
      <c r="L172" t="s">
        <v>48</v>
      </c>
      <c r="M172">
        <v>8760</v>
      </c>
      <c r="N172">
        <v>241</v>
      </c>
      <c r="O172" t="s">
        <v>49</v>
      </c>
      <c r="P172" t="s">
        <v>50</v>
      </c>
      <c r="Q172" t="s">
        <v>51</v>
      </c>
      <c r="R172" t="s">
        <v>51</v>
      </c>
      <c r="T172" t="s">
        <v>48</v>
      </c>
      <c r="U172">
        <v>8760</v>
      </c>
      <c r="V172">
        <v>2</v>
      </c>
      <c r="W172">
        <v>0.98134374618530273</v>
      </c>
      <c r="X172">
        <v>0.98129086102263785</v>
      </c>
      <c r="Y172">
        <v>0.96425694227218628</v>
      </c>
      <c r="Z172">
        <v>0.99843055009841919</v>
      </c>
      <c r="AA172">
        <f t="shared" si="4"/>
        <v>-3.9577321085963513E-2</v>
      </c>
      <c r="AB172">
        <f t="shared" si="5"/>
        <v>1.1943889844295983E-2</v>
      </c>
    </row>
    <row r="173" spans="1:28" x14ac:dyDescent="0.3">
      <c r="A173" t="s">
        <v>3</v>
      </c>
      <c r="B173" t="s">
        <v>222</v>
      </c>
      <c r="C173" t="s">
        <v>47</v>
      </c>
      <c r="D173">
        <v>177.7261031522626</v>
      </c>
      <c r="E173">
        <v>180.51</v>
      </c>
      <c r="F173">
        <v>177.73</v>
      </c>
      <c r="G173">
        <v>405438.36337500002</v>
      </c>
      <c r="H173">
        <v>290265.37000000029</v>
      </c>
      <c r="I173">
        <v>286117.03999999998</v>
      </c>
      <c r="J173">
        <v>-119321.32337500004</v>
      </c>
      <c r="K173">
        <v>-115172.99337499973</v>
      </c>
      <c r="L173" t="s">
        <v>48</v>
      </c>
      <c r="M173">
        <v>8760</v>
      </c>
      <c r="N173">
        <v>293</v>
      </c>
      <c r="O173" t="s">
        <v>49</v>
      </c>
      <c r="P173" t="s">
        <v>50</v>
      </c>
      <c r="Q173" t="s">
        <v>51</v>
      </c>
      <c r="R173" t="s">
        <v>51</v>
      </c>
      <c r="T173" t="s">
        <v>48</v>
      </c>
      <c r="U173">
        <v>8760</v>
      </c>
      <c r="V173">
        <v>2</v>
      </c>
      <c r="W173">
        <v>0.99667626619338989</v>
      </c>
      <c r="X173">
        <v>0.9966762540512577</v>
      </c>
      <c r="Y173">
        <v>0.99590283632278442</v>
      </c>
      <c r="Z173">
        <v>0.99744969606399536</v>
      </c>
      <c r="AA173">
        <f t="shared" si="4"/>
        <v>-0.29430200532019407</v>
      </c>
      <c r="AB173">
        <f t="shared" si="5"/>
        <v>-0.28407028978773124</v>
      </c>
    </row>
    <row r="174" spans="1:28" x14ac:dyDescent="0.3">
      <c r="A174" t="s">
        <v>3</v>
      </c>
      <c r="B174" t="s">
        <v>223</v>
      </c>
      <c r="C174" t="s">
        <v>47</v>
      </c>
      <c r="D174">
        <v>180.01351654135811</v>
      </c>
      <c r="E174">
        <v>189.93</v>
      </c>
      <c r="F174">
        <v>180.01</v>
      </c>
      <c r="G174">
        <v>325417.27713281248</v>
      </c>
      <c r="H174">
        <v>306385.78000000009</v>
      </c>
      <c r="I174">
        <v>297257.36000000103</v>
      </c>
      <c r="J174">
        <v>-28159.917132811446</v>
      </c>
      <c r="K174">
        <v>-19031.497132812394</v>
      </c>
      <c r="L174" t="s">
        <v>48</v>
      </c>
      <c r="M174">
        <v>8760</v>
      </c>
      <c r="N174">
        <v>298</v>
      </c>
      <c r="O174" t="s">
        <v>49</v>
      </c>
      <c r="P174" t="s">
        <v>50</v>
      </c>
      <c r="Q174" t="s">
        <v>51</v>
      </c>
      <c r="R174" t="s">
        <v>51</v>
      </c>
      <c r="T174" t="s">
        <v>48</v>
      </c>
      <c r="U174">
        <v>8760</v>
      </c>
      <c r="V174">
        <v>2</v>
      </c>
      <c r="W174">
        <v>0.99983891844749451</v>
      </c>
      <c r="X174">
        <v>0.99983890407033682</v>
      </c>
      <c r="Y174">
        <v>0.99981969594955444</v>
      </c>
      <c r="Z174">
        <v>0.99985814094543457</v>
      </c>
      <c r="AA174">
        <f t="shared" si="4"/>
        <v>-8.6534794282967786E-2</v>
      </c>
      <c r="AB174">
        <f t="shared" si="5"/>
        <v>-5.8483364191647E-2</v>
      </c>
    </row>
    <row r="175" spans="1:28" x14ac:dyDescent="0.3">
      <c r="A175" t="s">
        <v>3</v>
      </c>
      <c r="B175" t="s">
        <v>224</v>
      </c>
      <c r="C175" t="s">
        <v>47</v>
      </c>
      <c r="D175">
        <v>167.18638129344291</v>
      </c>
      <c r="E175">
        <v>167.83</v>
      </c>
      <c r="F175">
        <v>167.21</v>
      </c>
      <c r="G175">
        <v>264716.94140625</v>
      </c>
      <c r="H175">
        <v>270755.94999999925</v>
      </c>
      <c r="I175">
        <v>251443.36000000031</v>
      </c>
      <c r="J175">
        <v>-13273.581406249694</v>
      </c>
      <c r="K175">
        <v>6039.0085937492549</v>
      </c>
      <c r="L175" t="s">
        <v>48</v>
      </c>
      <c r="M175">
        <v>8760</v>
      </c>
      <c r="N175">
        <v>275</v>
      </c>
      <c r="O175" t="s">
        <v>49</v>
      </c>
      <c r="P175" t="s">
        <v>50</v>
      </c>
      <c r="Q175" t="s">
        <v>51</v>
      </c>
      <c r="R175" t="s">
        <v>51</v>
      </c>
      <c r="T175" t="s">
        <v>48</v>
      </c>
      <c r="U175">
        <v>8760</v>
      </c>
      <c r="V175">
        <v>2</v>
      </c>
      <c r="W175">
        <v>0.9985249936580658</v>
      </c>
      <c r="X175">
        <v>0.9985248069680952</v>
      </c>
      <c r="Y175">
        <v>0.99783509969711304</v>
      </c>
      <c r="Z175">
        <v>0.99921488761901855</v>
      </c>
      <c r="AA175">
        <f t="shared" si="4"/>
        <v>-5.0142545980384701E-2</v>
      </c>
      <c r="AB175">
        <f t="shared" si="5"/>
        <v>2.2813079365711777E-2</v>
      </c>
    </row>
    <row r="176" spans="1:28" x14ac:dyDescent="0.3">
      <c r="A176" t="s">
        <v>3</v>
      </c>
      <c r="B176" t="s">
        <v>225</v>
      </c>
      <c r="C176" t="s">
        <v>47</v>
      </c>
      <c r="D176">
        <v>144.30366715892978</v>
      </c>
      <c r="E176">
        <v>145.91</v>
      </c>
      <c r="F176">
        <v>144.27000000000001</v>
      </c>
      <c r="G176">
        <v>235424.489703125</v>
      </c>
      <c r="H176">
        <v>234813.27999999968</v>
      </c>
      <c r="I176">
        <v>232998.14000000074</v>
      </c>
      <c r="J176">
        <v>-2426.3497031242587</v>
      </c>
      <c r="K176">
        <v>-611.20970312532154</v>
      </c>
      <c r="L176" t="s">
        <v>48</v>
      </c>
      <c r="M176">
        <v>8760</v>
      </c>
      <c r="N176">
        <v>238</v>
      </c>
      <c r="O176" t="s">
        <v>49</v>
      </c>
      <c r="P176" t="s">
        <v>50</v>
      </c>
      <c r="Q176" t="s">
        <v>51</v>
      </c>
      <c r="R176" t="s">
        <v>51</v>
      </c>
      <c r="T176" t="s">
        <v>48</v>
      </c>
      <c r="U176">
        <v>8760</v>
      </c>
      <c r="V176">
        <v>2</v>
      </c>
      <c r="W176">
        <v>0.99207589030265808</v>
      </c>
      <c r="X176">
        <v>0.99207850366244998</v>
      </c>
      <c r="Y176">
        <v>0.98903638124465942</v>
      </c>
      <c r="Z176">
        <v>0.99511539936065674</v>
      </c>
      <c r="AA176">
        <f t="shared" si="4"/>
        <v>-1.0306275724262732E-2</v>
      </c>
      <c r="AB176">
        <f t="shared" si="5"/>
        <v>-2.5962027310585624E-3</v>
      </c>
    </row>
    <row r="177" spans="1:28" x14ac:dyDescent="0.3">
      <c r="A177" t="s">
        <v>3</v>
      </c>
      <c r="B177" t="s">
        <v>226</v>
      </c>
      <c r="C177" t="s">
        <v>47</v>
      </c>
      <c r="D177">
        <v>175.93186067812684</v>
      </c>
      <c r="E177">
        <v>181.35</v>
      </c>
      <c r="F177">
        <v>175.93</v>
      </c>
      <c r="G177">
        <v>336593.91528125003</v>
      </c>
      <c r="H177">
        <v>287773.06000000017</v>
      </c>
      <c r="I177">
        <v>281905.90999999904</v>
      </c>
      <c r="J177">
        <v>-54688.005281250982</v>
      </c>
      <c r="K177">
        <v>-48820.855281249853</v>
      </c>
      <c r="L177" t="s">
        <v>48</v>
      </c>
      <c r="M177">
        <v>8760</v>
      </c>
      <c r="N177">
        <v>289</v>
      </c>
      <c r="O177" t="s">
        <v>49</v>
      </c>
      <c r="P177" t="s">
        <v>50</v>
      </c>
      <c r="Q177" t="s">
        <v>51</v>
      </c>
      <c r="R177" t="s">
        <v>51</v>
      </c>
      <c r="T177" t="s">
        <v>48</v>
      </c>
      <c r="U177">
        <v>8760</v>
      </c>
      <c r="V177">
        <v>2</v>
      </c>
      <c r="W177">
        <v>0.9961031973361969</v>
      </c>
      <c r="X177">
        <v>0.99610290097623322</v>
      </c>
      <c r="Y177">
        <v>0.99450254440307617</v>
      </c>
      <c r="Z177">
        <v>0.99770385026931763</v>
      </c>
      <c r="AA177">
        <f t="shared" si="4"/>
        <v>-0.16247472933536233</v>
      </c>
      <c r="AB177">
        <f t="shared" si="5"/>
        <v>-0.14504378440845042</v>
      </c>
    </row>
    <row r="178" spans="1:28" x14ac:dyDescent="0.3">
      <c r="A178" t="s">
        <v>3</v>
      </c>
      <c r="B178" t="s">
        <v>227</v>
      </c>
      <c r="C178" t="s">
        <v>47</v>
      </c>
      <c r="D178">
        <v>184.83591525826171</v>
      </c>
      <c r="E178">
        <v>192.62</v>
      </c>
      <c r="F178">
        <v>187.35</v>
      </c>
      <c r="G178">
        <v>342700.03525000002</v>
      </c>
      <c r="H178">
        <v>310133.9300000004</v>
      </c>
      <c r="I178">
        <v>302408.28999999951</v>
      </c>
      <c r="J178">
        <v>-40291.745250000502</v>
      </c>
      <c r="K178">
        <v>-32566.105249999615</v>
      </c>
      <c r="L178" t="s">
        <v>48</v>
      </c>
      <c r="M178">
        <v>8760</v>
      </c>
      <c r="N178">
        <v>305</v>
      </c>
      <c r="O178" t="s">
        <v>49</v>
      </c>
      <c r="P178" t="s">
        <v>50</v>
      </c>
      <c r="Q178" t="s">
        <v>51</v>
      </c>
      <c r="R178" t="s">
        <v>51</v>
      </c>
      <c r="T178" t="s">
        <v>48</v>
      </c>
      <c r="U178">
        <v>8760</v>
      </c>
      <c r="V178">
        <v>2</v>
      </c>
      <c r="W178">
        <v>0.99953073263168335</v>
      </c>
      <c r="X178">
        <v>0.99953074521058982</v>
      </c>
      <c r="Y178">
        <v>0.99952125549316406</v>
      </c>
      <c r="Z178">
        <v>0.99954020977020264</v>
      </c>
      <c r="AA178">
        <f t="shared" si="4"/>
        <v>-0.11757146514621054</v>
      </c>
      <c r="AB178">
        <f t="shared" si="5"/>
        <v>-9.5028018384190158E-2</v>
      </c>
    </row>
    <row r="179" spans="1:28" x14ac:dyDescent="0.3">
      <c r="A179" t="s">
        <v>3</v>
      </c>
      <c r="B179" t="s">
        <v>228</v>
      </c>
      <c r="C179" t="s">
        <v>47</v>
      </c>
      <c r="D179">
        <v>143.11943884192269</v>
      </c>
      <c r="E179">
        <v>147.77000000000001</v>
      </c>
      <c r="F179">
        <v>137.51</v>
      </c>
      <c r="G179">
        <v>217597.0994375</v>
      </c>
      <c r="H179">
        <v>211640.35000000003</v>
      </c>
      <c r="I179">
        <v>221809.18999999962</v>
      </c>
      <c r="J179">
        <v>4212.090562499623</v>
      </c>
      <c r="K179">
        <v>-5956.749437499966</v>
      </c>
      <c r="L179" t="s">
        <v>48</v>
      </c>
      <c r="M179">
        <v>8760</v>
      </c>
      <c r="N179">
        <v>235</v>
      </c>
      <c r="O179" t="s">
        <v>49</v>
      </c>
      <c r="P179" t="s">
        <v>50</v>
      </c>
      <c r="Q179" t="s">
        <v>51</v>
      </c>
      <c r="R179" t="s">
        <v>51</v>
      </c>
      <c r="T179" t="s">
        <v>48</v>
      </c>
      <c r="U179">
        <v>8760</v>
      </c>
      <c r="V179">
        <v>2</v>
      </c>
      <c r="W179">
        <v>0.99800780415534973</v>
      </c>
      <c r="X179">
        <v>0.9980073830034073</v>
      </c>
      <c r="Y179">
        <v>0.99607521295547485</v>
      </c>
      <c r="Z179">
        <v>0.99994039535522461</v>
      </c>
      <c r="AA179">
        <f t="shared" si="4"/>
        <v>1.9357291863669596E-2</v>
      </c>
      <c r="AB179">
        <f t="shared" si="5"/>
        <v>-2.7375132540362338E-2</v>
      </c>
    </row>
    <row r="180" spans="1:28" x14ac:dyDescent="0.3">
      <c r="A180" t="s">
        <v>3</v>
      </c>
      <c r="B180" t="s">
        <v>229</v>
      </c>
      <c r="C180" t="s">
        <v>47</v>
      </c>
      <c r="D180">
        <v>176.161158604652</v>
      </c>
      <c r="E180">
        <v>177.8</v>
      </c>
      <c r="F180">
        <v>176.16</v>
      </c>
      <c r="G180">
        <v>316010.45582812501</v>
      </c>
      <c r="H180">
        <v>279038.70999999985</v>
      </c>
      <c r="I180">
        <v>275460.49000000046</v>
      </c>
      <c r="J180">
        <v>-40549.96582812455</v>
      </c>
      <c r="K180">
        <v>-36971.74582812516</v>
      </c>
      <c r="L180" t="s">
        <v>48</v>
      </c>
      <c r="M180">
        <v>8760</v>
      </c>
      <c r="N180">
        <v>289</v>
      </c>
      <c r="O180" t="s">
        <v>49</v>
      </c>
      <c r="P180" t="s">
        <v>50</v>
      </c>
      <c r="Q180" t="s">
        <v>51</v>
      </c>
      <c r="R180" t="s">
        <v>51</v>
      </c>
      <c r="T180" t="s">
        <v>48</v>
      </c>
      <c r="U180">
        <v>8760</v>
      </c>
      <c r="V180">
        <v>2</v>
      </c>
      <c r="W180">
        <v>0.99854916334152222</v>
      </c>
      <c r="X180">
        <v>0.99854942511100853</v>
      </c>
      <c r="Y180">
        <v>0.99803417921066284</v>
      </c>
      <c r="Z180">
        <v>0.99906414747238159</v>
      </c>
      <c r="AA180">
        <f t="shared" si="4"/>
        <v>-0.12831843086286765</v>
      </c>
      <c r="AB180">
        <f t="shared" si="5"/>
        <v>-0.11699532450987549</v>
      </c>
    </row>
    <row r="181" spans="1:28" x14ac:dyDescent="0.3">
      <c r="A181" t="s">
        <v>3</v>
      </c>
      <c r="B181" t="s">
        <v>230</v>
      </c>
      <c r="C181" t="s">
        <v>47</v>
      </c>
      <c r="D181">
        <v>177.55295425343468</v>
      </c>
      <c r="E181">
        <v>182.39</v>
      </c>
      <c r="F181">
        <v>177.55</v>
      </c>
      <c r="G181">
        <v>320733.22654687503</v>
      </c>
      <c r="H181">
        <v>287645.09000000084</v>
      </c>
      <c r="I181">
        <v>279054.8099999993</v>
      </c>
      <c r="J181">
        <v>-41678.416546875727</v>
      </c>
      <c r="K181">
        <v>-33088.136546874186</v>
      </c>
      <c r="L181" t="s">
        <v>48</v>
      </c>
      <c r="M181">
        <v>8760</v>
      </c>
      <c r="N181">
        <v>291</v>
      </c>
      <c r="O181" t="s">
        <v>49</v>
      </c>
      <c r="P181" t="s">
        <v>50</v>
      </c>
      <c r="Q181" t="s">
        <v>51</v>
      </c>
      <c r="R181" t="s">
        <v>51</v>
      </c>
      <c r="T181" t="s">
        <v>48</v>
      </c>
      <c r="U181">
        <v>8760</v>
      </c>
      <c r="V181">
        <v>2</v>
      </c>
      <c r="W181">
        <v>0.99736288189888</v>
      </c>
      <c r="X181">
        <v>0.99736091766380475</v>
      </c>
      <c r="Y181">
        <v>0.99577111005783081</v>
      </c>
      <c r="Z181">
        <v>0.9989546537399292</v>
      </c>
      <c r="AA181">
        <f t="shared" si="4"/>
        <v>-0.12994729917944578</v>
      </c>
      <c r="AB181">
        <f t="shared" si="5"/>
        <v>-0.10316404353584605</v>
      </c>
    </row>
    <row r="182" spans="1:28" x14ac:dyDescent="0.3">
      <c r="A182" t="s">
        <v>3</v>
      </c>
      <c r="B182" t="s">
        <v>231</v>
      </c>
      <c r="C182" t="s">
        <v>47</v>
      </c>
      <c r="D182">
        <v>168.40255887046447</v>
      </c>
      <c r="E182">
        <v>175.28</v>
      </c>
      <c r="F182">
        <v>167.03</v>
      </c>
      <c r="G182">
        <v>246986.39245312501</v>
      </c>
      <c r="H182">
        <v>278203.02999999997</v>
      </c>
      <c r="I182">
        <v>263053.05000000045</v>
      </c>
      <c r="J182">
        <v>16066.657546875445</v>
      </c>
      <c r="K182">
        <v>31216.637546874961</v>
      </c>
      <c r="L182" t="s">
        <v>48</v>
      </c>
      <c r="M182">
        <v>8760</v>
      </c>
      <c r="N182">
        <v>278</v>
      </c>
      <c r="O182" t="s">
        <v>49</v>
      </c>
      <c r="P182" t="s">
        <v>50</v>
      </c>
      <c r="Q182" t="s">
        <v>51</v>
      </c>
      <c r="R182" t="s">
        <v>51</v>
      </c>
      <c r="T182" t="s">
        <v>48</v>
      </c>
      <c r="U182">
        <v>8760</v>
      </c>
      <c r="V182">
        <v>2</v>
      </c>
      <c r="W182">
        <v>0.97866997122764587</v>
      </c>
      <c r="X182">
        <v>0.97864920118902665</v>
      </c>
      <c r="Y182">
        <v>0.95985734462738037</v>
      </c>
      <c r="Z182">
        <v>0.99748259782791138</v>
      </c>
      <c r="AA182">
        <f t="shared" si="4"/>
        <v>6.5050780276993195E-2</v>
      </c>
      <c r="AB182">
        <f t="shared" si="5"/>
        <v>0.12639011095641431</v>
      </c>
    </row>
    <row r="183" spans="1:28" x14ac:dyDescent="0.3">
      <c r="A183" t="s">
        <v>3</v>
      </c>
      <c r="B183" t="s">
        <v>232</v>
      </c>
      <c r="C183" t="s">
        <v>47</v>
      </c>
      <c r="D183">
        <v>153.92991554866339</v>
      </c>
      <c r="E183">
        <v>155.91999999999999</v>
      </c>
      <c r="F183">
        <v>153.91</v>
      </c>
      <c r="G183">
        <v>225654.45592187499</v>
      </c>
      <c r="H183">
        <v>248171.73</v>
      </c>
      <c r="I183">
        <v>245938.21000000031</v>
      </c>
      <c r="J183">
        <v>20283.754078125319</v>
      </c>
      <c r="K183">
        <v>22517.274078125018</v>
      </c>
      <c r="L183" t="s">
        <v>48</v>
      </c>
      <c r="M183">
        <v>8760</v>
      </c>
      <c r="N183">
        <v>252</v>
      </c>
      <c r="O183" t="s">
        <v>49</v>
      </c>
      <c r="P183" t="s">
        <v>50</v>
      </c>
      <c r="Q183" t="s">
        <v>51</v>
      </c>
      <c r="R183" t="s">
        <v>51</v>
      </c>
      <c r="T183" t="s">
        <v>48</v>
      </c>
      <c r="U183">
        <v>8760</v>
      </c>
      <c r="V183">
        <v>2</v>
      </c>
      <c r="W183">
        <v>0.98930603265762329</v>
      </c>
      <c r="X183">
        <v>0.98930503686906535</v>
      </c>
      <c r="Y183">
        <v>0.98479479551315308</v>
      </c>
      <c r="Z183">
        <v>0.99381726980209351</v>
      </c>
      <c r="AA183">
        <f t="shared" si="4"/>
        <v>8.9888559901284928E-2</v>
      </c>
      <c r="AB183">
        <f t="shared" si="5"/>
        <v>9.9786525314265628E-2</v>
      </c>
    </row>
    <row r="184" spans="1:28" x14ac:dyDescent="0.3">
      <c r="A184" t="s">
        <v>3</v>
      </c>
      <c r="B184" t="s">
        <v>233</v>
      </c>
      <c r="C184" t="s">
        <v>47</v>
      </c>
      <c r="D184">
        <v>175.14886624630083</v>
      </c>
      <c r="E184">
        <v>178.02</v>
      </c>
      <c r="F184">
        <v>175.15</v>
      </c>
      <c r="G184">
        <v>324558.41025000002</v>
      </c>
      <c r="H184">
        <v>253678.5300000002</v>
      </c>
      <c r="I184">
        <v>250424.13999999969</v>
      </c>
      <c r="J184">
        <v>-74134.270250000322</v>
      </c>
      <c r="K184">
        <v>-70879.880249999813</v>
      </c>
      <c r="L184" t="s">
        <v>48</v>
      </c>
      <c r="M184">
        <v>8760</v>
      </c>
      <c r="N184">
        <v>290</v>
      </c>
      <c r="O184" t="s">
        <v>49</v>
      </c>
      <c r="P184" t="s">
        <v>50</v>
      </c>
      <c r="Q184" t="s">
        <v>51</v>
      </c>
      <c r="R184" t="s">
        <v>51</v>
      </c>
      <c r="T184" t="s">
        <v>48</v>
      </c>
      <c r="U184">
        <v>8760</v>
      </c>
      <c r="V184">
        <v>2</v>
      </c>
      <c r="W184">
        <v>0.99388349056243896</v>
      </c>
      <c r="X184">
        <v>0.99388289577556521</v>
      </c>
      <c r="Y184">
        <v>0.99247956275939941</v>
      </c>
      <c r="Z184">
        <v>0.99528741836547852</v>
      </c>
      <c r="AA184">
        <f t="shared" si="4"/>
        <v>-0.2284158040856078</v>
      </c>
      <c r="AB184">
        <f t="shared" si="5"/>
        <v>-0.21838867215119351</v>
      </c>
    </row>
    <row r="185" spans="1:28" x14ac:dyDescent="0.3">
      <c r="A185" t="s">
        <v>3</v>
      </c>
      <c r="B185" t="s">
        <v>234</v>
      </c>
      <c r="C185" t="s">
        <v>47</v>
      </c>
      <c r="D185">
        <v>179.70313589810428</v>
      </c>
      <c r="E185">
        <v>180.79</v>
      </c>
      <c r="F185">
        <v>179.7</v>
      </c>
      <c r="G185">
        <v>286782.27421875001</v>
      </c>
      <c r="H185">
        <v>262896.77000000031</v>
      </c>
      <c r="I185">
        <v>256762.53000000044</v>
      </c>
      <c r="J185">
        <v>-30019.744218749576</v>
      </c>
      <c r="K185">
        <v>-23885.504218749702</v>
      </c>
      <c r="L185" t="s">
        <v>48</v>
      </c>
      <c r="M185">
        <v>8760</v>
      </c>
      <c r="N185">
        <v>296</v>
      </c>
      <c r="O185" t="s">
        <v>49</v>
      </c>
      <c r="P185" t="s">
        <v>50</v>
      </c>
      <c r="Q185" t="s">
        <v>51</v>
      </c>
      <c r="R185" t="s">
        <v>51</v>
      </c>
      <c r="T185" t="s">
        <v>48</v>
      </c>
      <c r="U185">
        <v>8760</v>
      </c>
      <c r="V185">
        <v>2</v>
      </c>
      <c r="W185">
        <v>0.99657395482063293</v>
      </c>
      <c r="X185">
        <v>0.99657337832904658</v>
      </c>
      <c r="Y185">
        <v>0.99610400199890137</v>
      </c>
      <c r="Z185">
        <v>0.9970439076423645</v>
      </c>
      <c r="AA185">
        <f t="shared" si="4"/>
        <v>-0.10467782327387257</v>
      </c>
      <c r="AB185">
        <f t="shared" si="5"/>
        <v>-8.3287937805146442E-2</v>
      </c>
    </row>
    <row r="186" spans="1:28" x14ac:dyDescent="0.3">
      <c r="A186" t="s">
        <v>3</v>
      </c>
      <c r="B186" t="s">
        <v>235</v>
      </c>
      <c r="C186" t="s">
        <v>47</v>
      </c>
      <c r="D186">
        <v>186.09129056612096</v>
      </c>
      <c r="E186">
        <v>188.36</v>
      </c>
      <c r="F186">
        <v>186.23</v>
      </c>
      <c r="G186">
        <v>334117.25874999998</v>
      </c>
      <c r="H186">
        <v>276103.50999999931</v>
      </c>
      <c r="I186">
        <v>269515.51999999961</v>
      </c>
      <c r="J186">
        <v>-64601.738750000368</v>
      </c>
      <c r="K186">
        <v>-58013.748750000668</v>
      </c>
      <c r="L186" t="s">
        <v>48</v>
      </c>
      <c r="M186">
        <v>8760</v>
      </c>
      <c r="N186">
        <v>307</v>
      </c>
      <c r="O186" t="s">
        <v>49</v>
      </c>
      <c r="P186" t="s">
        <v>50</v>
      </c>
      <c r="Q186" t="s">
        <v>51</v>
      </c>
      <c r="R186" t="s">
        <v>51</v>
      </c>
      <c r="T186" t="s">
        <v>48</v>
      </c>
      <c r="U186">
        <v>8760</v>
      </c>
      <c r="V186">
        <v>2</v>
      </c>
      <c r="W186">
        <v>0.99476328492164612</v>
      </c>
      <c r="X186">
        <v>0.99476503909532654</v>
      </c>
      <c r="Y186">
        <v>0.99339890480041504</v>
      </c>
      <c r="Z186">
        <v>0.9961276650428772</v>
      </c>
      <c r="AA186">
        <f t="shared" si="4"/>
        <v>-0.19335049913820224</v>
      </c>
      <c r="AB186">
        <f t="shared" si="5"/>
        <v>-0.17363290051834437</v>
      </c>
    </row>
    <row r="187" spans="1:28" x14ac:dyDescent="0.3">
      <c r="A187" t="s">
        <v>3</v>
      </c>
      <c r="B187" t="s">
        <v>236</v>
      </c>
      <c r="C187" t="s">
        <v>47</v>
      </c>
      <c r="D187">
        <v>147.51831388679537</v>
      </c>
      <c r="E187">
        <v>149.53</v>
      </c>
      <c r="F187">
        <v>147.53</v>
      </c>
      <c r="G187">
        <v>213402.19557812501</v>
      </c>
      <c r="H187">
        <v>219378.71000000057</v>
      </c>
      <c r="I187">
        <v>214194.39</v>
      </c>
      <c r="J187">
        <v>792.19442187499953</v>
      </c>
      <c r="K187">
        <v>5976.5144218755595</v>
      </c>
      <c r="L187" t="s">
        <v>48</v>
      </c>
      <c r="M187">
        <v>8760</v>
      </c>
      <c r="N187">
        <v>243</v>
      </c>
      <c r="O187" t="s">
        <v>49</v>
      </c>
      <c r="P187" t="s">
        <v>50</v>
      </c>
      <c r="Q187" t="s">
        <v>51</v>
      </c>
      <c r="R187" t="s">
        <v>51</v>
      </c>
      <c r="T187" t="s">
        <v>48</v>
      </c>
      <c r="U187">
        <v>8760</v>
      </c>
      <c r="V187">
        <v>2</v>
      </c>
      <c r="W187">
        <v>0.99742838740348816</v>
      </c>
      <c r="X187">
        <v>0.9974277366399954</v>
      </c>
      <c r="Y187">
        <v>0.99598193168640137</v>
      </c>
      <c r="Z187">
        <v>0.99887484312057495</v>
      </c>
      <c r="AA187">
        <f t="shared" si="4"/>
        <v>3.7122130806989885E-3</v>
      </c>
      <c r="AB187">
        <f t="shared" si="5"/>
        <v>2.800587128770941E-2</v>
      </c>
    </row>
    <row r="188" spans="1:28" x14ac:dyDescent="0.3">
      <c r="A188" t="s">
        <v>3</v>
      </c>
      <c r="B188" t="s">
        <v>237</v>
      </c>
      <c r="C188" t="s">
        <v>47</v>
      </c>
      <c r="D188">
        <v>152.28844867323235</v>
      </c>
      <c r="E188">
        <v>155.13999999999999</v>
      </c>
      <c r="F188">
        <v>152.29</v>
      </c>
      <c r="G188">
        <v>245976.491125</v>
      </c>
      <c r="H188">
        <v>242973.32000000033</v>
      </c>
      <c r="I188">
        <v>240396.37000000052</v>
      </c>
      <c r="J188">
        <v>-5580.1211249994813</v>
      </c>
      <c r="K188">
        <v>-3003.1711249996733</v>
      </c>
      <c r="L188" t="s">
        <v>48</v>
      </c>
      <c r="M188">
        <v>8760</v>
      </c>
      <c r="N188">
        <v>252</v>
      </c>
      <c r="O188" t="s">
        <v>49</v>
      </c>
      <c r="P188" t="s">
        <v>50</v>
      </c>
      <c r="Q188" t="s">
        <v>51</v>
      </c>
      <c r="R188" t="s">
        <v>51</v>
      </c>
      <c r="T188" t="s">
        <v>48</v>
      </c>
      <c r="U188">
        <v>8760</v>
      </c>
      <c r="V188">
        <v>2</v>
      </c>
      <c r="W188">
        <v>0.99086013436317444</v>
      </c>
      <c r="X188">
        <v>0.99085857736897753</v>
      </c>
      <c r="Y188">
        <v>0.9903256893157959</v>
      </c>
      <c r="Z188">
        <v>0.99139457941055298</v>
      </c>
      <c r="AA188">
        <f t="shared" si="4"/>
        <v>-2.268558714484541E-2</v>
      </c>
      <c r="AB188">
        <f t="shared" si="5"/>
        <v>-1.2209179467779E-2</v>
      </c>
    </row>
    <row r="189" spans="1:28" x14ac:dyDescent="0.3">
      <c r="A189" t="s">
        <v>3</v>
      </c>
      <c r="B189" t="s">
        <v>238</v>
      </c>
      <c r="C189" t="s">
        <v>47</v>
      </c>
      <c r="D189">
        <v>137.87260044488872</v>
      </c>
      <c r="E189">
        <v>142.05000000000001</v>
      </c>
      <c r="F189">
        <v>137.87</v>
      </c>
      <c r="G189">
        <v>240221.63382812499</v>
      </c>
      <c r="H189">
        <v>224821.8299999997</v>
      </c>
      <c r="I189">
        <v>220662.76000000013</v>
      </c>
      <c r="J189">
        <v>-19558.873828124866</v>
      </c>
      <c r="K189">
        <v>-15399.803828125296</v>
      </c>
      <c r="L189" t="s">
        <v>48</v>
      </c>
      <c r="M189">
        <v>8760</v>
      </c>
      <c r="N189">
        <v>226</v>
      </c>
      <c r="O189" t="s">
        <v>49</v>
      </c>
      <c r="P189" t="s">
        <v>50</v>
      </c>
      <c r="Q189" t="s">
        <v>51</v>
      </c>
      <c r="R189" t="s">
        <v>51</v>
      </c>
      <c r="T189" t="s">
        <v>48</v>
      </c>
      <c r="U189">
        <v>8760</v>
      </c>
      <c r="V189">
        <v>2</v>
      </c>
      <c r="W189">
        <v>0.99812304973602295</v>
      </c>
      <c r="X189">
        <v>0.99812366171618816</v>
      </c>
      <c r="Y189">
        <v>0.99709510803222656</v>
      </c>
      <c r="Z189">
        <v>0.99915099143981934</v>
      </c>
      <c r="AA189">
        <f t="shared" si="4"/>
        <v>-8.14201182318115E-2</v>
      </c>
      <c r="AB189">
        <f t="shared" si="5"/>
        <v>-6.4106648442594588E-2</v>
      </c>
    </row>
    <row r="190" spans="1:28" x14ac:dyDescent="0.3">
      <c r="A190" t="s">
        <v>3</v>
      </c>
      <c r="B190" t="s">
        <v>239</v>
      </c>
      <c r="C190" t="s">
        <v>47</v>
      </c>
      <c r="D190">
        <v>172.81080869763139</v>
      </c>
      <c r="E190">
        <v>176.16</v>
      </c>
      <c r="F190">
        <v>172.81</v>
      </c>
      <c r="G190">
        <v>319118.34893750004</v>
      </c>
      <c r="H190">
        <v>283672.3999999995</v>
      </c>
      <c r="I190">
        <v>278413.31000000035</v>
      </c>
      <c r="J190">
        <v>-40705.038937499688</v>
      </c>
      <c r="K190">
        <v>-35445.948937500536</v>
      </c>
      <c r="L190" t="s">
        <v>48</v>
      </c>
      <c r="M190">
        <v>8760</v>
      </c>
      <c r="N190">
        <v>284</v>
      </c>
      <c r="O190" t="s">
        <v>49</v>
      </c>
      <c r="P190" t="s">
        <v>50</v>
      </c>
      <c r="Q190" t="s">
        <v>51</v>
      </c>
      <c r="R190" t="s">
        <v>51</v>
      </c>
      <c r="T190" t="s">
        <v>48</v>
      </c>
      <c r="U190">
        <v>8760</v>
      </c>
      <c r="V190">
        <v>2</v>
      </c>
      <c r="W190">
        <v>0.99619591236114502</v>
      </c>
      <c r="X190">
        <v>0.99619622330699054</v>
      </c>
      <c r="Y190">
        <v>0.9956929087638855</v>
      </c>
      <c r="Z190">
        <v>0.99669891595840454</v>
      </c>
      <c r="AA190">
        <f t="shared" si="4"/>
        <v>-0.12755468017751576</v>
      </c>
      <c r="AB190">
        <f t="shared" si="5"/>
        <v>-0.11107461872849779</v>
      </c>
    </row>
    <row r="191" spans="1:28" x14ac:dyDescent="0.3">
      <c r="A191" t="s">
        <v>3</v>
      </c>
      <c r="B191" t="s">
        <v>240</v>
      </c>
      <c r="C191" t="s">
        <v>47</v>
      </c>
      <c r="D191">
        <v>28.960387238575073</v>
      </c>
      <c r="E191">
        <v>28.96</v>
      </c>
      <c r="F191">
        <v>28.96</v>
      </c>
      <c r="G191">
        <v>23245.309406250002</v>
      </c>
      <c r="H191">
        <v>43437.759999999878</v>
      </c>
      <c r="I191">
        <v>43285.490000000085</v>
      </c>
      <c r="J191">
        <v>20040.180593750083</v>
      </c>
      <c r="K191">
        <v>20192.450593749876</v>
      </c>
      <c r="L191" t="s">
        <v>48</v>
      </c>
      <c r="M191">
        <v>8760</v>
      </c>
      <c r="N191">
        <v>47</v>
      </c>
      <c r="O191" t="s">
        <v>49</v>
      </c>
      <c r="P191" t="s">
        <v>50</v>
      </c>
      <c r="Q191" t="s">
        <v>51</v>
      </c>
      <c r="R191" t="s">
        <v>51</v>
      </c>
      <c r="T191" t="s">
        <v>48</v>
      </c>
      <c r="U191">
        <v>8760</v>
      </c>
      <c r="AA191">
        <f t="shared" si="4"/>
        <v>0.86211718000887738</v>
      </c>
      <c r="AB191">
        <f t="shared" si="5"/>
        <v>0.86866774887155085</v>
      </c>
    </row>
    <row r="192" spans="1:28" x14ac:dyDescent="0.3">
      <c r="A192" t="s">
        <v>3</v>
      </c>
      <c r="B192" t="s">
        <v>241</v>
      </c>
      <c r="C192" t="s">
        <v>47</v>
      </c>
      <c r="D192">
        <v>1336.2589550171244</v>
      </c>
      <c r="E192">
        <v>1933.9</v>
      </c>
      <c r="F192">
        <v>1339.73</v>
      </c>
      <c r="G192">
        <v>2469274.6026171874</v>
      </c>
      <c r="H192">
        <v>1485734.4699999997</v>
      </c>
      <c r="I192">
        <v>2146677.0299999942</v>
      </c>
      <c r="J192">
        <v>-322597.57261719322</v>
      </c>
      <c r="K192">
        <v>-983540.13261718769</v>
      </c>
      <c r="L192" t="s">
        <v>48</v>
      </c>
      <c r="M192">
        <v>8760</v>
      </c>
      <c r="N192">
        <v>2203</v>
      </c>
      <c r="O192" t="s">
        <v>49</v>
      </c>
      <c r="P192" t="s">
        <v>50</v>
      </c>
      <c r="Q192" t="s">
        <v>51</v>
      </c>
      <c r="R192" t="s">
        <v>51</v>
      </c>
      <c r="T192" t="s">
        <v>48</v>
      </c>
      <c r="U192">
        <v>8760</v>
      </c>
      <c r="V192">
        <v>2</v>
      </c>
      <c r="W192">
        <v>0.63920608162879944</v>
      </c>
      <c r="X192">
        <v>0.63875582082826454</v>
      </c>
      <c r="Y192">
        <v>0.52259701490402222</v>
      </c>
      <c r="Z192">
        <v>0.75581514835357666</v>
      </c>
      <c r="AA192">
        <f t="shared" si="4"/>
        <v>-0.13064467284249051</v>
      </c>
      <c r="AB192">
        <f t="shared" si="5"/>
        <v>-0.39831136301111758</v>
      </c>
    </row>
    <row r="193" spans="1:28" x14ac:dyDescent="0.3">
      <c r="A193" t="s">
        <v>3</v>
      </c>
      <c r="B193" t="s">
        <v>242</v>
      </c>
      <c r="C193" t="s">
        <v>47</v>
      </c>
      <c r="D193">
        <v>316.20278951770172</v>
      </c>
      <c r="E193">
        <v>320.2</v>
      </c>
      <c r="F193">
        <v>315.33</v>
      </c>
      <c r="G193">
        <v>645009.98459374998</v>
      </c>
      <c r="H193">
        <v>317294.83000000013</v>
      </c>
      <c r="I193">
        <v>320832.50999999983</v>
      </c>
      <c r="J193">
        <v>-324177.47459375014</v>
      </c>
      <c r="K193">
        <v>-327715.15459374984</v>
      </c>
      <c r="L193" t="s">
        <v>48</v>
      </c>
      <c r="M193">
        <v>8760</v>
      </c>
      <c r="N193">
        <v>520</v>
      </c>
      <c r="O193" t="s">
        <v>49</v>
      </c>
      <c r="P193" t="s">
        <v>50</v>
      </c>
      <c r="Q193" t="s">
        <v>51</v>
      </c>
      <c r="R193" t="s">
        <v>51</v>
      </c>
      <c r="T193" t="s">
        <v>48</v>
      </c>
      <c r="U193">
        <v>8760</v>
      </c>
      <c r="V193">
        <v>1</v>
      </c>
      <c r="W193">
        <v>0.99544060230255127</v>
      </c>
      <c r="X193">
        <v>0.99544060230255127</v>
      </c>
      <c r="Y193">
        <v>0.99544060230255127</v>
      </c>
      <c r="Z193">
        <v>0.99544060230255127</v>
      </c>
      <c r="AA193">
        <f t="shared" si="4"/>
        <v>-0.50259295567018014</v>
      </c>
      <c r="AB193">
        <f t="shared" si="5"/>
        <v>-0.50807764596102556</v>
      </c>
    </row>
    <row r="194" spans="1:28" x14ac:dyDescent="0.3">
      <c r="A194" t="s">
        <v>3</v>
      </c>
      <c r="B194" t="s">
        <v>243</v>
      </c>
      <c r="C194" t="s">
        <v>47</v>
      </c>
      <c r="D194">
        <v>312.76672402046444</v>
      </c>
      <c r="E194">
        <v>313.57</v>
      </c>
      <c r="F194">
        <v>312.73</v>
      </c>
      <c r="G194">
        <v>571559.87957812496</v>
      </c>
      <c r="H194">
        <v>314761.05999999982</v>
      </c>
      <c r="I194">
        <v>296309.8700000004</v>
      </c>
      <c r="J194">
        <v>-275250.00957812456</v>
      </c>
      <c r="K194">
        <v>-256798.81957812514</v>
      </c>
      <c r="L194" t="s">
        <v>48</v>
      </c>
      <c r="M194">
        <v>8760</v>
      </c>
      <c r="N194">
        <v>517</v>
      </c>
      <c r="O194" t="s">
        <v>49</v>
      </c>
      <c r="P194" t="s">
        <v>50</v>
      </c>
      <c r="Q194" t="s">
        <v>51</v>
      </c>
      <c r="R194" t="s">
        <v>51</v>
      </c>
      <c r="T194" t="s">
        <v>48</v>
      </c>
      <c r="U194">
        <v>8760</v>
      </c>
      <c r="V194">
        <v>1</v>
      </c>
      <c r="W194">
        <v>0.99887734651565552</v>
      </c>
      <c r="X194">
        <v>0.99887734651565552</v>
      </c>
      <c r="Y194">
        <v>0.99887734651565552</v>
      </c>
      <c r="Z194">
        <v>0.99887734651565552</v>
      </c>
      <c r="AA194">
        <f t="shared" ref="AA194:AA195" si="6">(I194-G194)/G194</f>
        <v>-0.48157685557161539</v>
      </c>
      <c r="AB194">
        <f t="shared" ref="AB194:AB195" si="7">(H194-G194)/G194</f>
        <v>-0.44929469116634174</v>
      </c>
    </row>
    <row r="195" spans="1:28" x14ac:dyDescent="0.3">
      <c r="A195" t="s">
        <v>3</v>
      </c>
      <c r="B195" t="s">
        <v>244</v>
      </c>
      <c r="C195" t="s">
        <v>47</v>
      </c>
      <c r="D195">
        <v>368.96447468250454</v>
      </c>
      <c r="E195">
        <v>368.96</v>
      </c>
      <c r="F195">
        <v>368.96</v>
      </c>
      <c r="G195">
        <v>580934.12256250007</v>
      </c>
      <c r="H195">
        <v>456989.02000000217</v>
      </c>
      <c r="I195">
        <v>457175.62999999902</v>
      </c>
      <c r="J195">
        <v>-123758.49256250105</v>
      </c>
      <c r="K195">
        <v>-123945.10256249789</v>
      </c>
      <c r="L195" t="s">
        <v>48</v>
      </c>
      <c r="M195">
        <v>8760</v>
      </c>
      <c r="N195">
        <v>610</v>
      </c>
      <c r="O195" t="s">
        <v>49</v>
      </c>
      <c r="P195" t="s">
        <v>50</v>
      </c>
      <c r="Q195" t="s">
        <v>51</v>
      </c>
      <c r="R195" t="s">
        <v>51</v>
      </c>
      <c r="T195" t="s">
        <v>48</v>
      </c>
      <c r="U195">
        <v>8760</v>
      </c>
      <c r="AA195">
        <f t="shared" si="6"/>
        <v>-0.21303360872761684</v>
      </c>
      <c r="AB195">
        <f t="shared" si="7"/>
        <v>-0.21335483275758724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4.4" x14ac:dyDescent="0.3"/>
  <sheetData>
    <row r="1" spans="1:26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0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21</v>
      </c>
      <c r="C1" t="s">
        <v>24</v>
      </c>
      <c r="D1" t="s">
        <v>27</v>
      </c>
      <c r="E1" t="s">
        <v>25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3</v>
      </c>
      <c r="B2" t="s">
        <v>245</v>
      </c>
      <c r="C2">
        <v>220.03</v>
      </c>
      <c r="D2">
        <v>264123.7900000005</v>
      </c>
      <c r="E2">
        <v>220.03</v>
      </c>
      <c r="F2">
        <v>267274.61999999988</v>
      </c>
      <c r="I2" t="s">
        <v>48</v>
      </c>
      <c r="J2">
        <v>8760</v>
      </c>
      <c r="K2" t="s">
        <v>48</v>
      </c>
      <c r="L2">
        <v>8760</v>
      </c>
    </row>
    <row r="3" spans="1:17" x14ac:dyDescent="0.3">
      <c r="A3" t="s">
        <v>3</v>
      </c>
      <c r="B3" t="s">
        <v>246</v>
      </c>
      <c r="C3">
        <v>359.67</v>
      </c>
      <c r="D3">
        <v>542654.08000000031</v>
      </c>
      <c r="E3">
        <v>359.67</v>
      </c>
      <c r="F3">
        <v>550788.39999999863</v>
      </c>
      <c r="I3" t="s">
        <v>48</v>
      </c>
      <c r="J3">
        <v>8760</v>
      </c>
      <c r="K3" t="s">
        <v>48</v>
      </c>
      <c r="L3">
        <v>8760</v>
      </c>
    </row>
    <row r="4" spans="1:17" x14ac:dyDescent="0.3">
      <c r="A4" t="s">
        <v>3</v>
      </c>
      <c r="B4" t="s">
        <v>247</v>
      </c>
      <c r="C4">
        <v>267.10000000000002</v>
      </c>
      <c r="D4">
        <v>398330.65000000043</v>
      </c>
      <c r="E4">
        <v>236.73</v>
      </c>
      <c r="F4">
        <v>351604.84000000125</v>
      </c>
      <c r="I4" t="s">
        <v>48</v>
      </c>
      <c r="J4">
        <v>8760</v>
      </c>
      <c r="K4" t="s">
        <v>48</v>
      </c>
      <c r="L4">
        <v>8760</v>
      </c>
      <c r="M4">
        <v>2</v>
      </c>
      <c r="N4">
        <v>0.73971384763717651</v>
      </c>
      <c r="O4">
        <v>0.73984164118329443</v>
      </c>
      <c r="P4">
        <v>0.53115910291671753</v>
      </c>
      <c r="Q4">
        <v>0.9482685923576355</v>
      </c>
    </row>
    <row r="5" spans="1:17" x14ac:dyDescent="0.3">
      <c r="A5" t="s">
        <v>3</v>
      </c>
      <c r="B5" t="s">
        <v>248</v>
      </c>
      <c r="C5">
        <v>12.16</v>
      </c>
      <c r="D5">
        <v>12664.549999999977</v>
      </c>
      <c r="E5">
        <v>12.16</v>
      </c>
      <c r="F5">
        <v>12821.939999999997</v>
      </c>
      <c r="I5" t="s">
        <v>48</v>
      </c>
      <c r="J5">
        <v>8760</v>
      </c>
      <c r="K5" t="s">
        <v>48</v>
      </c>
      <c r="L5">
        <v>8760</v>
      </c>
    </row>
    <row r="6" spans="1:17" x14ac:dyDescent="0.3">
      <c r="A6" t="s">
        <v>3</v>
      </c>
      <c r="B6" t="s">
        <v>249</v>
      </c>
      <c r="C6">
        <v>0.04</v>
      </c>
      <c r="D6">
        <v>45.729999999999947</v>
      </c>
      <c r="E6">
        <v>0.04</v>
      </c>
      <c r="F6">
        <v>45.599999999999952</v>
      </c>
      <c r="I6" t="s">
        <v>48</v>
      </c>
      <c r="J6">
        <v>8760</v>
      </c>
      <c r="K6" t="s">
        <v>48</v>
      </c>
      <c r="L6">
        <v>8760</v>
      </c>
    </row>
    <row r="7" spans="1:17" x14ac:dyDescent="0.3">
      <c r="A7" t="s">
        <v>3</v>
      </c>
      <c r="B7" t="s">
        <v>250</v>
      </c>
      <c r="C7">
        <v>5711.94</v>
      </c>
      <c r="D7">
        <v>9233266.820000004</v>
      </c>
      <c r="E7">
        <v>5711.94</v>
      </c>
      <c r="F7">
        <v>9226217.4299999923</v>
      </c>
      <c r="I7" t="s">
        <v>48</v>
      </c>
      <c r="J7">
        <v>8760</v>
      </c>
      <c r="K7" t="s">
        <v>48</v>
      </c>
      <c r="L7">
        <v>8760</v>
      </c>
    </row>
    <row r="8" spans="1:17" x14ac:dyDescent="0.3">
      <c r="A8" t="s">
        <v>3</v>
      </c>
      <c r="B8" t="s">
        <v>251</v>
      </c>
      <c r="C8">
        <v>309.48</v>
      </c>
      <c r="D8">
        <v>348956.3800000003</v>
      </c>
      <c r="E8">
        <v>309.48</v>
      </c>
      <c r="F8">
        <v>347925.48000000074</v>
      </c>
      <c r="I8" t="s">
        <v>48</v>
      </c>
      <c r="J8">
        <v>8760</v>
      </c>
      <c r="K8" t="s">
        <v>48</v>
      </c>
      <c r="L8">
        <v>8760</v>
      </c>
    </row>
    <row r="9" spans="1:17" x14ac:dyDescent="0.3">
      <c r="A9" t="s">
        <v>3</v>
      </c>
      <c r="B9" t="s">
        <v>252</v>
      </c>
      <c r="C9">
        <v>566.15</v>
      </c>
      <c r="D9">
        <v>782988.9700000002</v>
      </c>
      <c r="E9">
        <v>566.15</v>
      </c>
      <c r="F9">
        <v>781933.77999999991</v>
      </c>
      <c r="I9" t="s">
        <v>48</v>
      </c>
      <c r="J9">
        <v>8760</v>
      </c>
      <c r="K9" t="s">
        <v>48</v>
      </c>
      <c r="L9">
        <v>8760</v>
      </c>
    </row>
    <row r="10" spans="1:17" x14ac:dyDescent="0.3">
      <c r="A10" t="s">
        <v>3</v>
      </c>
      <c r="B10" t="s">
        <v>253</v>
      </c>
      <c r="C10">
        <v>187.95</v>
      </c>
      <c r="D10">
        <v>301632.78000000009</v>
      </c>
      <c r="E10">
        <v>187.95</v>
      </c>
      <c r="F10">
        <v>303239.37000000005</v>
      </c>
      <c r="I10" t="s">
        <v>48</v>
      </c>
      <c r="J10">
        <v>8760</v>
      </c>
      <c r="K10" t="s">
        <v>48</v>
      </c>
      <c r="L10">
        <v>8760</v>
      </c>
    </row>
    <row r="11" spans="1:17" x14ac:dyDescent="0.3">
      <c r="A11" t="s">
        <v>3</v>
      </c>
      <c r="B11" t="s">
        <v>254</v>
      </c>
      <c r="C11">
        <v>259.37</v>
      </c>
      <c r="D11">
        <v>408369.03</v>
      </c>
      <c r="E11">
        <v>252.63</v>
      </c>
      <c r="F11">
        <v>402129.63999999949</v>
      </c>
      <c r="I11" t="s">
        <v>48</v>
      </c>
      <c r="J11">
        <v>8760</v>
      </c>
      <c r="K11" t="s">
        <v>48</v>
      </c>
      <c r="L11">
        <v>8760</v>
      </c>
      <c r="M11">
        <v>2</v>
      </c>
      <c r="N11">
        <v>0.99348706007003784</v>
      </c>
      <c r="O11">
        <v>0.99348225708523519</v>
      </c>
      <c r="P11">
        <v>0.98973047733306885</v>
      </c>
      <c r="Q11">
        <v>0.99724364280700684</v>
      </c>
    </row>
    <row r="12" spans="1:17" x14ac:dyDescent="0.3">
      <c r="A12" t="s">
        <v>3</v>
      </c>
      <c r="B12" t="s">
        <v>255</v>
      </c>
      <c r="C12">
        <v>225.52</v>
      </c>
      <c r="D12">
        <v>357205.90000000026</v>
      </c>
      <c r="E12">
        <v>200.96</v>
      </c>
      <c r="F12">
        <v>324768.03999999905</v>
      </c>
      <c r="I12" t="s">
        <v>48</v>
      </c>
      <c r="J12">
        <v>8760</v>
      </c>
      <c r="K12" t="s">
        <v>48</v>
      </c>
      <c r="L12">
        <v>8760</v>
      </c>
      <c r="M12">
        <v>2</v>
      </c>
      <c r="N12">
        <v>0.99730843305587769</v>
      </c>
      <c r="O12">
        <v>0.99730813501074045</v>
      </c>
      <c r="P12">
        <v>0.9969450831413269</v>
      </c>
      <c r="Q12">
        <v>0.99767178297042847</v>
      </c>
    </row>
    <row r="13" spans="1:17" x14ac:dyDescent="0.3">
      <c r="A13" t="s">
        <v>3</v>
      </c>
      <c r="B13" t="s">
        <v>256</v>
      </c>
      <c r="C13">
        <v>241.68</v>
      </c>
      <c r="D13">
        <v>386887.81999999861</v>
      </c>
      <c r="E13">
        <v>241.68</v>
      </c>
      <c r="F13">
        <v>387206.05999999942</v>
      </c>
      <c r="I13" t="s">
        <v>48</v>
      </c>
      <c r="J13">
        <v>8760</v>
      </c>
      <c r="K13" t="s">
        <v>48</v>
      </c>
      <c r="L13">
        <v>8760</v>
      </c>
    </row>
    <row r="14" spans="1:17" x14ac:dyDescent="0.3">
      <c r="A14" t="s">
        <v>3</v>
      </c>
      <c r="B14" t="s">
        <v>257</v>
      </c>
      <c r="C14">
        <v>233.98</v>
      </c>
      <c r="D14">
        <v>377655.30999999976</v>
      </c>
      <c r="E14">
        <v>233.98</v>
      </c>
      <c r="F14">
        <v>377923.19000000099</v>
      </c>
      <c r="I14" t="s">
        <v>48</v>
      </c>
      <c r="J14">
        <v>8760</v>
      </c>
      <c r="K14" t="s">
        <v>48</v>
      </c>
      <c r="L14">
        <v>8760</v>
      </c>
    </row>
    <row r="15" spans="1:17" x14ac:dyDescent="0.3">
      <c r="A15" t="s">
        <v>3</v>
      </c>
      <c r="B15" t="s">
        <v>258</v>
      </c>
      <c r="C15">
        <v>6865.57</v>
      </c>
      <c r="D15">
        <v>11110512.31000003</v>
      </c>
      <c r="E15">
        <v>6865.57</v>
      </c>
      <c r="F15">
        <v>11112811.54000002</v>
      </c>
      <c r="I15" t="s">
        <v>48</v>
      </c>
      <c r="J15">
        <v>8760</v>
      </c>
      <c r="K15" t="s">
        <v>48</v>
      </c>
      <c r="L15">
        <v>8760</v>
      </c>
    </row>
    <row r="16" spans="1:17" x14ac:dyDescent="0.3">
      <c r="A16" t="s">
        <v>3</v>
      </c>
      <c r="B16" t="s">
        <v>259</v>
      </c>
      <c r="C16">
        <v>1771.22</v>
      </c>
      <c r="D16">
        <v>2842260.4199999934</v>
      </c>
      <c r="E16">
        <v>1771.22</v>
      </c>
      <c r="F16">
        <v>2844007.02</v>
      </c>
      <c r="I16" t="s">
        <v>48</v>
      </c>
      <c r="J16">
        <v>8760</v>
      </c>
      <c r="K16" t="s">
        <v>48</v>
      </c>
      <c r="L16">
        <v>8760</v>
      </c>
    </row>
    <row r="17" spans="1:17" x14ac:dyDescent="0.3">
      <c r="A17" t="s">
        <v>3</v>
      </c>
      <c r="B17" t="s">
        <v>260</v>
      </c>
      <c r="C17">
        <v>853.44</v>
      </c>
      <c r="D17">
        <v>1118013.829999994</v>
      </c>
      <c r="E17">
        <v>686.89</v>
      </c>
      <c r="F17">
        <v>873420.6300000007</v>
      </c>
      <c r="I17" t="s">
        <v>48</v>
      </c>
      <c r="J17">
        <v>8760</v>
      </c>
      <c r="K17" t="s">
        <v>48</v>
      </c>
      <c r="L17">
        <v>8760</v>
      </c>
      <c r="M17">
        <v>1</v>
      </c>
      <c r="N17">
        <v>0.99824666976928711</v>
      </c>
      <c r="O17">
        <v>0.99824666976928711</v>
      </c>
      <c r="P17">
        <v>0.99824666976928711</v>
      </c>
      <c r="Q17">
        <v>0.99824666976928711</v>
      </c>
    </row>
    <row r="18" spans="1:17" x14ac:dyDescent="0.3">
      <c r="A18" t="s">
        <v>3</v>
      </c>
      <c r="B18" t="s">
        <v>261</v>
      </c>
      <c r="C18">
        <v>600.35</v>
      </c>
      <c r="D18">
        <v>872897.49999999977</v>
      </c>
      <c r="E18">
        <v>600.35</v>
      </c>
      <c r="F18">
        <v>885195.06999999913</v>
      </c>
      <c r="I18" t="s">
        <v>48</v>
      </c>
      <c r="J18">
        <v>8760</v>
      </c>
      <c r="K18" t="s">
        <v>48</v>
      </c>
      <c r="L18">
        <v>8760</v>
      </c>
    </row>
    <row r="19" spans="1:17" x14ac:dyDescent="0.3">
      <c r="A19" t="s">
        <v>3</v>
      </c>
      <c r="B19" t="s">
        <v>262</v>
      </c>
      <c r="C19">
        <v>404.31</v>
      </c>
      <c r="D19">
        <v>663324.48999999976</v>
      </c>
      <c r="E19">
        <v>374.42</v>
      </c>
      <c r="F19">
        <v>605149.99000000011</v>
      </c>
      <c r="I19" t="s">
        <v>48</v>
      </c>
      <c r="J19">
        <v>8760</v>
      </c>
      <c r="K19" t="s">
        <v>48</v>
      </c>
      <c r="L19">
        <v>8760</v>
      </c>
      <c r="M19">
        <v>1</v>
      </c>
      <c r="N19">
        <v>0.94896644353866577</v>
      </c>
      <c r="O19">
        <v>0.94896644353866577</v>
      </c>
      <c r="P19">
        <v>0.94896644353866577</v>
      </c>
      <c r="Q19">
        <v>0.94896644353866577</v>
      </c>
    </row>
    <row r="20" spans="1:17" x14ac:dyDescent="0.3">
      <c r="A20" t="s">
        <v>3</v>
      </c>
      <c r="B20" t="s">
        <v>263</v>
      </c>
      <c r="C20">
        <v>3449.19</v>
      </c>
      <c r="D20">
        <v>5286697.1499999911</v>
      </c>
      <c r="E20">
        <v>3449.19</v>
      </c>
      <c r="F20">
        <v>5303267.3000000007</v>
      </c>
      <c r="I20" t="s">
        <v>48</v>
      </c>
      <c r="J20">
        <v>8760</v>
      </c>
      <c r="K20" t="s">
        <v>48</v>
      </c>
      <c r="L20">
        <v>8760</v>
      </c>
    </row>
    <row r="21" spans="1:17" x14ac:dyDescent="0.3">
      <c r="A21" t="s">
        <v>3</v>
      </c>
      <c r="B21" t="s">
        <v>264</v>
      </c>
      <c r="C21">
        <v>2044.41</v>
      </c>
      <c r="D21">
        <v>3203125.320000004</v>
      </c>
      <c r="E21">
        <v>823.74</v>
      </c>
      <c r="F21">
        <v>1208465.670000003</v>
      </c>
      <c r="I21" t="s">
        <v>48</v>
      </c>
      <c r="J21">
        <v>8760</v>
      </c>
      <c r="K21" t="s">
        <v>48</v>
      </c>
      <c r="L21">
        <v>8760</v>
      </c>
      <c r="M21">
        <v>2</v>
      </c>
      <c r="N21">
        <v>0.96483010053634644</v>
      </c>
      <c r="O21">
        <v>0.96482114572100508</v>
      </c>
      <c r="P21">
        <v>0.96191412210464478</v>
      </c>
      <c r="Q21">
        <v>0.9677460789680481</v>
      </c>
    </row>
    <row r="22" spans="1:17" x14ac:dyDescent="0.3">
      <c r="A22" t="s">
        <v>3</v>
      </c>
      <c r="B22" t="s">
        <v>265</v>
      </c>
      <c r="C22">
        <v>657.33</v>
      </c>
      <c r="D22">
        <v>1031270.6099999992</v>
      </c>
      <c r="E22">
        <v>574.04999999999995</v>
      </c>
      <c r="F22">
        <v>898550.6599999998</v>
      </c>
      <c r="I22" t="s">
        <v>48</v>
      </c>
      <c r="J22">
        <v>8760</v>
      </c>
      <c r="K22" t="s">
        <v>48</v>
      </c>
      <c r="L22">
        <v>8760</v>
      </c>
      <c r="M22">
        <v>2</v>
      </c>
      <c r="N22">
        <v>0.9609273374080658</v>
      </c>
      <c r="O22">
        <v>0.96092972545148481</v>
      </c>
      <c r="P22">
        <v>0.95948165655136108</v>
      </c>
      <c r="Q22">
        <v>0.96237301826477051</v>
      </c>
    </row>
    <row r="23" spans="1:17" x14ac:dyDescent="0.3">
      <c r="A23" t="s">
        <v>3</v>
      </c>
      <c r="B23" t="s">
        <v>266</v>
      </c>
      <c r="C23">
        <v>344.72</v>
      </c>
      <c r="D23">
        <v>502648.80000000005</v>
      </c>
      <c r="E23">
        <v>311.07</v>
      </c>
      <c r="F23">
        <v>463855.64999999932</v>
      </c>
      <c r="I23" t="s">
        <v>48</v>
      </c>
      <c r="J23">
        <v>8760</v>
      </c>
      <c r="K23" t="s">
        <v>48</v>
      </c>
      <c r="L23">
        <v>8760</v>
      </c>
      <c r="M23">
        <v>1</v>
      </c>
      <c r="N23">
        <v>0.99356430768966675</v>
      </c>
      <c r="O23">
        <v>0.99356430768966675</v>
      </c>
      <c r="P23">
        <v>0.99356430768966675</v>
      </c>
      <c r="Q23">
        <v>0.99356430768966675</v>
      </c>
    </row>
    <row r="24" spans="1:17" x14ac:dyDescent="0.3">
      <c r="A24" t="s">
        <v>3</v>
      </c>
      <c r="B24" t="s">
        <v>267</v>
      </c>
      <c r="C24">
        <v>43.62</v>
      </c>
      <c r="D24">
        <v>62405.36000000003</v>
      </c>
      <c r="E24">
        <v>39.72</v>
      </c>
      <c r="F24">
        <v>60403.379999999881</v>
      </c>
      <c r="I24" t="s">
        <v>48</v>
      </c>
      <c r="J24">
        <v>8760</v>
      </c>
      <c r="K24" t="s">
        <v>48</v>
      </c>
      <c r="L24">
        <v>8760</v>
      </c>
      <c r="M24">
        <v>1</v>
      </c>
      <c r="N24">
        <v>0.75584226846694946</v>
      </c>
      <c r="O24">
        <v>0.75584226846694935</v>
      </c>
      <c r="P24">
        <v>0.75584226846694946</v>
      </c>
      <c r="Q24">
        <v>0.75584226846694946</v>
      </c>
    </row>
    <row r="25" spans="1:17" x14ac:dyDescent="0.3">
      <c r="A25" t="s">
        <v>3</v>
      </c>
      <c r="B25" t="s">
        <v>268</v>
      </c>
      <c r="C25">
        <v>428.06</v>
      </c>
      <c r="D25">
        <v>691368.46000000054</v>
      </c>
      <c r="E25">
        <v>428.06</v>
      </c>
      <c r="F25">
        <v>691738.46999999892</v>
      </c>
      <c r="I25" t="s">
        <v>48</v>
      </c>
      <c r="J25">
        <v>8760</v>
      </c>
      <c r="K25" t="s">
        <v>48</v>
      </c>
      <c r="L25">
        <v>8760</v>
      </c>
    </row>
    <row r="26" spans="1:17" x14ac:dyDescent="0.3">
      <c r="A26" t="s">
        <v>3</v>
      </c>
      <c r="B26" t="s">
        <v>269</v>
      </c>
      <c r="C26">
        <v>196.28</v>
      </c>
      <c r="D26">
        <v>306228.04999999952</v>
      </c>
      <c r="E26">
        <v>196.28</v>
      </c>
      <c r="F26">
        <v>306827.78000000038</v>
      </c>
      <c r="I26" t="s">
        <v>48</v>
      </c>
      <c r="J26">
        <v>8760</v>
      </c>
      <c r="K26" t="s">
        <v>48</v>
      </c>
      <c r="L26">
        <v>8760</v>
      </c>
    </row>
    <row r="27" spans="1:17" x14ac:dyDescent="0.3">
      <c r="A27" t="s">
        <v>3</v>
      </c>
      <c r="B27" t="s">
        <v>270</v>
      </c>
      <c r="C27">
        <v>66.75</v>
      </c>
      <c r="D27">
        <v>98961.290000000081</v>
      </c>
      <c r="E27">
        <v>66.75</v>
      </c>
      <c r="F27">
        <v>99437.460000000065</v>
      </c>
      <c r="I27" t="s">
        <v>48</v>
      </c>
      <c r="J27">
        <v>8760</v>
      </c>
      <c r="K27" t="s">
        <v>48</v>
      </c>
      <c r="L27">
        <v>8760</v>
      </c>
    </row>
    <row r="28" spans="1:17" x14ac:dyDescent="0.3">
      <c r="A28" t="s">
        <v>3</v>
      </c>
      <c r="B28" t="s">
        <v>271</v>
      </c>
      <c r="C28">
        <v>298.14999999999998</v>
      </c>
      <c r="D28">
        <v>475633.56000000035</v>
      </c>
      <c r="E28">
        <v>298.14999999999998</v>
      </c>
      <c r="F28">
        <v>476003.29000000056</v>
      </c>
      <c r="I28" t="s">
        <v>48</v>
      </c>
      <c r="J28">
        <v>8760</v>
      </c>
      <c r="K28" t="s">
        <v>48</v>
      </c>
      <c r="L28">
        <v>8760</v>
      </c>
    </row>
    <row r="29" spans="1:17" x14ac:dyDescent="0.3">
      <c r="A29" t="s">
        <v>3</v>
      </c>
      <c r="B29" t="s">
        <v>272</v>
      </c>
      <c r="C29">
        <v>229.56</v>
      </c>
      <c r="D29">
        <v>360872.99999999913</v>
      </c>
      <c r="E29">
        <v>228</v>
      </c>
      <c r="F29">
        <v>360098.77999999991</v>
      </c>
      <c r="I29" t="s">
        <v>48</v>
      </c>
      <c r="J29">
        <v>8760</v>
      </c>
      <c r="K29" t="s">
        <v>48</v>
      </c>
      <c r="L29">
        <v>8760</v>
      </c>
      <c r="M29">
        <v>2</v>
      </c>
      <c r="N29">
        <v>0.98728930950164795</v>
      </c>
      <c r="O29">
        <v>0.98728296198177246</v>
      </c>
      <c r="P29">
        <v>0.98235976696014404</v>
      </c>
      <c r="Q29">
        <v>0.99221885204315186</v>
      </c>
    </row>
    <row r="30" spans="1:17" x14ac:dyDescent="0.3">
      <c r="A30" t="s">
        <v>3</v>
      </c>
      <c r="B30" t="s">
        <v>273</v>
      </c>
      <c r="C30">
        <v>196.69</v>
      </c>
      <c r="D30">
        <v>286339.7900000001</v>
      </c>
      <c r="E30">
        <v>194.36</v>
      </c>
      <c r="F30">
        <v>288102.15000000049</v>
      </c>
      <c r="I30" t="s">
        <v>48</v>
      </c>
      <c r="J30">
        <v>8760</v>
      </c>
      <c r="K30" t="s">
        <v>48</v>
      </c>
      <c r="L30">
        <v>8760</v>
      </c>
      <c r="M30">
        <v>2</v>
      </c>
      <c r="N30">
        <v>0.99545580148696899</v>
      </c>
      <c r="O30">
        <v>0.99545657832260459</v>
      </c>
      <c r="P30">
        <v>0.99486428499221802</v>
      </c>
      <c r="Q30">
        <v>0.99604731798171997</v>
      </c>
    </row>
    <row r="31" spans="1:17" x14ac:dyDescent="0.3">
      <c r="A31" t="s">
        <v>3</v>
      </c>
      <c r="B31" t="s">
        <v>274</v>
      </c>
      <c r="C31">
        <v>224.42</v>
      </c>
      <c r="D31">
        <v>298916.84000000043</v>
      </c>
      <c r="E31">
        <v>224.42</v>
      </c>
      <c r="F31">
        <v>342159.12999999989</v>
      </c>
      <c r="I31" t="s">
        <v>48</v>
      </c>
      <c r="J31">
        <v>8760</v>
      </c>
      <c r="K31" t="s">
        <v>48</v>
      </c>
      <c r="L31">
        <v>8760</v>
      </c>
    </row>
    <row r="32" spans="1:17" x14ac:dyDescent="0.3">
      <c r="A32" t="s">
        <v>3</v>
      </c>
      <c r="B32" t="s">
        <v>275</v>
      </c>
      <c r="C32">
        <v>143.18</v>
      </c>
      <c r="D32">
        <v>229983.99999999962</v>
      </c>
      <c r="E32">
        <v>141.79</v>
      </c>
      <c r="F32">
        <v>228282.12000000008</v>
      </c>
      <c r="I32" t="s">
        <v>48</v>
      </c>
      <c r="J32">
        <v>8760</v>
      </c>
      <c r="K32" t="s">
        <v>48</v>
      </c>
      <c r="L32">
        <v>8760</v>
      </c>
      <c r="M32">
        <v>2</v>
      </c>
      <c r="N32">
        <v>0.9941704273223877</v>
      </c>
      <c r="O32">
        <v>0.99416746182798332</v>
      </c>
      <c r="P32">
        <v>0.99018841981887817</v>
      </c>
      <c r="Q32">
        <v>0.99815243482589722</v>
      </c>
    </row>
    <row r="33" spans="1:17" x14ac:dyDescent="0.3">
      <c r="A33" t="s">
        <v>3</v>
      </c>
      <c r="B33" t="s">
        <v>276</v>
      </c>
      <c r="C33">
        <v>148.11000000000001</v>
      </c>
      <c r="D33">
        <v>232550.91000000018</v>
      </c>
      <c r="E33">
        <v>145.93</v>
      </c>
      <c r="F33">
        <v>234245.37000000034</v>
      </c>
      <c r="I33" t="s">
        <v>48</v>
      </c>
      <c r="J33">
        <v>8760</v>
      </c>
      <c r="K33" t="s">
        <v>48</v>
      </c>
      <c r="L33">
        <v>8760</v>
      </c>
      <c r="M33">
        <v>2</v>
      </c>
      <c r="N33">
        <v>0.99982485175132751</v>
      </c>
      <c r="O33">
        <v>0.99982518988946134</v>
      </c>
      <c r="P33">
        <v>0.99971383810043335</v>
      </c>
      <c r="Q33">
        <v>0.99993586540222168</v>
      </c>
    </row>
    <row r="34" spans="1:17" x14ac:dyDescent="0.3">
      <c r="A34" t="s">
        <v>3</v>
      </c>
      <c r="B34" t="s">
        <v>277</v>
      </c>
      <c r="C34">
        <v>495.25</v>
      </c>
      <c r="D34">
        <v>743766.94999999786</v>
      </c>
      <c r="E34">
        <v>495.25</v>
      </c>
      <c r="F34">
        <v>743814.81999999937</v>
      </c>
      <c r="I34" t="s">
        <v>48</v>
      </c>
      <c r="J34">
        <v>8760</v>
      </c>
      <c r="K34" t="s">
        <v>48</v>
      </c>
      <c r="L34">
        <v>8760</v>
      </c>
    </row>
    <row r="35" spans="1:17" x14ac:dyDescent="0.3">
      <c r="A35" t="s">
        <v>3</v>
      </c>
      <c r="B35" t="s">
        <v>278</v>
      </c>
      <c r="C35">
        <v>312.93</v>
      </c>
      <c r="D35">
        <v>448805.44000000029</v>
      </c>
      <c r="E35">
        <v>301.57</v>
      </c>
      <c r="F35">
        <v>433856.5099999996</v>
      </c>
      <c r="I35" t="s">
        <v>48</v>
      </c>
      <c r="J35">
        <v>8760</v>
      </c>
      <c r="K35" t="s">
        <v>48</v>
      </c>
      <c r="L35">
        <v>8760</v>
      </c>
      <c r="M35">
        <v>2</v>
      </c>
      <c r="N35">
        <v>0.99907174706459045</v>
      </c>
      <c r="O35">
        <v>0.99907168336306729</v>
      </c>
      <c r="P35">
        <v>0.99902153015136719</v>
      </c>
      <c r="Q35">
        <v>0.99912196397781372</v>
      </c>
    </row>
    <row r="36" spans="1:17" x14ac:dyDescent="0.3">
      <c r="A36" t="s">
        <v>3</v>
      </c>
      <c r="B36" t="s">
        <v>279</v>
      </c>
      <c r="C36">
        <v>262.91000000000003</v>
      </c>
      <c r="D36">
        <v>364349.46999999875</v>
      </c>
      <c r="E36">
        <v>256.60000000000002</v>
      </c>
      <c r="F36">
        <v>360156.23999999982</v>
      </c>
      <c r="I36" t="s">
        <v>48</v>
      </c>
      <c r="J36">
        <v>8760</v>
      </c>
      <c r="K36" t="s">
        <v>48</v>
      </c>
      <c r="L36">
        <v>8760</v>
      </c>
      <c r="M36">
        <v>2</v>
      </c>
      <c r="N36">
        <v>0.99906396865844727</v>
      </c>
      <c r="O36">
        <v>0.99906379044115246</v>
      </c>
      <c r="P36">
        <v>0.9988018274307251</v>
      </c>
      <c r="Q36">
        <v>0.99932610988616943</v>
      </c>
    </row>
    <row r="37" spans="1:17" x14ac:dyDescent="0.3">
      <c r="A37" t="s">
        <v>3</v>
      </c>
      <c r="B37" t="s">
        <v>280</v>
      </c>
      <c r="C37">
        <v>247.91</v>
      </c>
      <c r="D37">
        <v>326117.4000000009</v>
      </c>
      <c r="E37">
        <v>244.36</v>
      </c>
      <c r="F37">
        <v>322347.02999999892</v>
      </c>
      <c r="I37" t="s">
        <v>48</v>
      </c>
      <c r="J37">
        <v>8760</v>
      </c>
      <c r="K37" t="s">
        <v>48</v>
      </c>
      <c r="L37">
        <v>8760</v>
      </c>
      <c r="M37">
        <v>2</v>
      </c>
      <c r="N37">
        <v>0.99783056974411011</v>
      </c>
      <c r="O37">
        <v>0.99783097524907205</v>
      </c>
      <c r="P37">
        <v>0.99663960933685303</v>
      </c>
      <c r="Q37">
        <v>0.99902153015136719</v>
      </c>
    </row>
    <row r="38" spans="1:17" x14ac:dyDescent="0.3">
      <c r="A38" t="s">
        <v>3</v>
      </c>
      <c r="B38" t="s">
        <v>281</v>
      </c>
      <c r="C38">
        <v>31.39</v>
      </c>
      <c r="D38">
        <v>48914.049999999988</v>
      </c>
      <c r="E38">
        <v>31.39</v>
      </c>
      <c r="F38">
        <v>48898.359999999957</v>
      </c>
      <c r="I38" t="s">
        <v>48</v>
      </c>
      <c r="J38">
        <v>8760</v>
      </c>
      <c r="K38" t="s">
        <v>48</v>
      </c>
      <c r="L38">
        <v>8760</v>
      </c>
    </row>
    <row r="39" spans="1:17" x14ac:dyDescent="0.3">
      <c r="A39" t="s">
        <v>3</v>
      </c>
      <c r="B39" t="s">
        <v>282</v>
      </c>
      <c r="C39">
        <v>186.99</v>
      </c>
      <c r="D39">
        <v>272359.3499999998</v>
      </c>
      <c r="E39">
        <v>182.37</v>
      </c>
      <c r="F39">
        <v>268666.13999999949</v>
      </c>
      <c r="I39" t="s">
        <v>48</v>
      </c>
      <c r="J39">
        <v>8760</v>
      </c>
      <c r="K39" t="s">
        <v>48</v>
      </c>
      <c r="L39">
        <v>8760</v>
      </c>
      <c r="M39">
        <v>2</v>
      </c>
      <c r="N39">
        <v>0.98964574933052063</v>
      </c>
      <c r="O39">
        <v>0.98964992902628002</v>
      </c>
      <c r="P39">
        <v>0.98151588439941406</v>
      </c>
      <c r="Q39">
        <v>0.9977756142616272</v>
      </c>
    </row>
    <row r="40" spans="1:17" x14ac:dyDescent="0.3">
      <c r="A40" t="s">
        <v>3</v>
      </c>
      <c r="B40" t="s">
        <v>283</v>
      </c>
      <c r="C40">
        <v>185.01</v>
      </c>
      <c r="D40">
        <v>273945.4000000002</v>
      </c>
      <c r="E40">
        <v>178.03</v>
      </c>
      <c r="F40">
        <v>267237.75999999966</v>
      </c>
      <c r="I40" t="s">
        <v>48</v>
      </c>
      <c r="J40">
        <v>8760</v>
      </c>
      <c r="K40" t="s">
        <v>48</v>
      </c>
      <c r="L40">
        <v>8760</v>
      </c>
      <c r="M40">
        <v>2</v>
      </c>
      <c r="N40">
        <v>0.98901855945587158</v>
      </c>
      <c r="O40">
        <v>0.98903948439848455</v>
      </c>
      <c r="P40">
        <v>0.98540371656417847</v>
      </c>
      <c r="Q40">
        <v>0.9926334023475647</v>
      </c>
    </row>
    <row r="41" spans="1:17" x14ac:dyDescent="0.3">
      <c r="A41" t="s">
        <v>3</v>
      </c>
      <c r="B41" t="s">
        <v>284</v>
      </c>
      <c r="C41">
        <v>177.11</v>
      </c>
      <c r="D41">
        <v>279610.80999999988</v>
      </c>
      <c r="E41">
        <v>177.11</v>
      </c>
      <c r="F41">
        <v>279787.32000000024</v>
      </c>
      <c r="I41" t="s">
        <v>48</v>
      </c>
      <c r="J41">
        <v>8760</v>
      </c>
      <c r="K41" t="s">
        <v>48</v>
      </c>
      <c r="L41">
        <v>8760</v>
      </c>
    </row>
    <row r="42" spans="1:17" x14ac:dyDescent="0.3">
      <c r="A42" t="s">
        <v>3</v>
      </c>
      <c r="B42" t="s">
        <v>285</v>
      </c>
      <c r="C42">
        <v>127.47</v>
      </c>
      <c r="D42">
        <v>205627.24000000002</v>
      </c>
      <c r="E42">
        <v>127.47</v>
      </c>
      <c r="F42">
        <v>205723.34000000014</v>
      </c>
      <c r="I42" t="s">
        <v>48</v>
      </c>
      <c r="J42">
        <v>8760</v>
      </c>
      <c r="K42" t="s">
        <v>48</v>
      </c>
      <c r="L42">
        <v>8760</v>
      </c>
    </row>
    <row r="43" spans="1:17" x14ac:dyDescent="0.3">
      <c r="A43" t="s">
        <v>3</v>
      </c>
      <c r="B43" t="s">
        <v>286</v>
      </c>
      <c r="C43">
        <v>138.94</v>
      </c>
      <c r="D43">
        <v>224480.84000000043</v>
      </c>
      <c r="E43">
        <v>138.94</v>
      </c>
      <c r="F43">
        <v>224334.78000000032</v>
      </c>
      <c r="I43" t="s">
        <v>48</v>
      </c>
      <c r="J43">
        <v>8760</v>
      </c>
      <c r="K43" t="s">
        <v>48</v>
      </c>
      <c r="L43">
        <v>8760</v>
      </c>
    </row>
    <row r="44" spans="1:17" x14ac:dyDescent="0.3">
      <c r="A44" t="s">
        <v>3</v>
      </c>
      <c r="B44" t="s">
        <v>287</v>
      </c>
      <c r="C44">
        <v>172.9</v>
      </c>
      <c r="D44">
        <v>279253.83999999997</v>
      </c>
      <c r="E44">
        <v>172.9</v>
      </c>
      <c r="F44">
        <v>278639.82000000065</v>
      </c>
      <c r="I44" t="s">
        <v>48</v>
      </c>
      <c r="J44">
        <v>8760</v>
      </c>
      <c r="K44" t="s">
        <v>48</v>
      </c>
      <c r="L44">
        <v>8760</v>
      </c>
    </row>
    <row r="45" spans="1:17" x14ac:dyDescent="0.3">
      <c r="A45" t="s">
        <v>3</v>
      </c>
      <c r="B45" t="s">
        <v>288</v>
      </c>
      <c r="C45">
        <v>143.47999999999999</v>
      </c>
      <c r="D45">
        <v>231329.78999999963</v>
      </c>
      <c r="E45">
        <v>143.47999999999999</v>
      </c>
      <c r="F45">
        <v>231391.07999999993</v>
      </c>
      <c r="I45" t="s">
        <v>48</v>
      </c>
      <c r="J45">
        <v>8760</v>
      </c>
      <c r="K45" t="s">
        <v>48</v>
      </c>
      <c r="L45">
        <v>8760</v>
      </c>
    </row>
    <row r="46" spans="1:17" x14ac:dyDescent="0.3">
      <c r="A46" t="s">
        <v>3</v>
      </c>
      <c r="B46" t="s">
        <v>289</v>
      </c>
      <c r="C46">
        <v>338.14</v>
      </c>
      <c r="D46">
        <v>295481.06999999954</v>
      </c>
      <c r="E46">
        <v>262.29000000000002</v>
      </c>
      <c r="F46">
        <v>245342.51999999958</v>
      </c>
      <c r="I46" t="s">
        <v>48</v>
      </c>
      <c r="J46">
        <v>8760</v>
      </c>
      <c r="K46" t="s">
        <v>48</v>
      </c>
      <c r="L46">
        <v>8760</v>
      </c>
      <c r="M46">
        <v>3</v>
      </c>
      <c r="N46">
        <v>0.72203987836837769</v>
      </c>
      <c r="O46">
        <v>0.66866188958975092</v>
      </c>
      <c r="P46">
        <v>0.5120963454246521</v>
      </c>
      <c r="Q46">
        <v>0.89414727687835693</v>
      </c>
    </row>
    <row r="47" spans="1:17" x14ac:dyDescent="0.3">
      <c r="A47" t="s">
        <v>3</v>
      </c>
      <c r="B47" t="s">
        <v>290</v>
      </c>
      <c r="C47">
        <v>258.95999999999998</v>
      </c>
      <c r="D47">
        <v>331400.33000000007</v>
      </c>
      <c r="E47">
        <v>258.95999999999998</v>
      </c>
      <c r="F47">
        <v>347998.97999999975</v>
      </c>
      <c r="I47" t="s">
        <v>48</v>
      </c>
      <c r="J47">
        <v>8760</v>
      </c>
      <c r="K47" t="s">
        <v>48</v>
      </c>
      <c r="L47">
        <v>8760</v>
      </c>
    </row>
    <row r="48" spans="1:17" x14ac:dyDescent="0.3">
      <c r="A48" t="s">
        <v>3</v>
      </c>
      <c r="B48" t="s">
        <v>291</v>
      </c>
      <c r="C48">
        <v>3.76</v>
      </c>
      <c r="D48">
        <v>6076.8400000000074</v>
      </c>
      <c r="E48">
        <v>3.76</v>
      </c>
      <c r="F48">
        <v>6082.4000000000106</v>
      </c>
      <c r="I48" t="s">
        <v>48</v>
      </c>
      <c r="J48">
        <v>8760</v>
      </c>
      <c r="K48" t="s">
        <v>48</v>
      </c>
      <c r="L48">
        <v>8760</v>
      </c>
    </row>
    <row r="49" spans="1:12" x14ac:dyDescent="0.3">
      <c r="A49" t="s">
        <v>3</v>
      </c>
      <c r="B49" t="s">
        <v>292</v>
      </c>
      <c r="C49">
        <v>3.78</v>
      </c>
      <c r="D49">
        <v>6092.4300000000067</v>
      </c>
      <c r="E49">
        <v>3.78</v>
      </c>
      <c r="F49">
        <v>6107.4700000000139</v>
      </c>
      <c r="I49" t="s">
        <v>48</v>
      </c>
      <c r="J49">
        <v>8760</v>
      </c>
      <c r="K49" t="s">
        <v>48</v>
      </c>
      <c r="L49">
        <v>8760</v>
      </c>
    </row>
    <row r="50" spans="1:12" x14ac:dyDescent="0.3">
      <c r="A50" t="s">
        <v>3</v>
      </c>
      <c r="B50" t="s">
        <v>293</v>
      </c>
      <c r="C50">
        <v>3.76</v>
      </c>
      <c r="D50">
        <v>6083.5100000000166</v>
      </c>
      <c r="E50">
        <v>3.76</v>
      </c>
      <c r="F50">
        <v>6083.2500000000082</v>
      </c>
      <c r="I50" t="s">
        <v>48</v>
      </c>
      <c r="J50">
        <v>8760</v>
      </c>
      <c r="K50" t="s">
        <v>48</v>
      </c>
      <c r="L50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missing_in_ucea</vt:lpstr>
      <vt:lpstr>ucea_only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2026-04-30T17:03:01Z</dcterms:modified>
</cp:coreProperties>
</file>